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sudhan/Desktop/"/>
    </mc:Choice>
  </mc:AlternateContent>
  <xr:revisionPtr revIDLastSave="0" documentId="13_ncr:1_{0F9A26A2-20C3-504B-8806-A9C5C3E1292C}" xr6:coauthVersionLast="47" xr6:coauthVersionMax="47" xr10:uidLastSave="{00000000-0000-0000-0000-000000000000}"/>
  <bookViews>
    <workbookView minimized="1" xWindow="0" yWindow="620" windowWidth="28800" windowHeight="15860" activeTab="1" xr2:uid="{296E6CFC-A1D7-564B-A1E9-44638C3A3375}"/>
  </bookViews>
  <sheets>
    <sheet name="Providers Count" sheetId="1" r:id="rId1"/>
    <sheet name="Capacities" sheetId="7" r:id="rId2"/>
    <sheet name="Scholarships" sheetId="2" r:id="rId3"/>
    <sheet name="Expenditures" sheetId="3" r:id="rId4"/>
    <sheet name="Count of Children" sheetId="4" r:id="rId5"/>
    <sheet name="Count of Families" sheetId="5" r:id="rId6"/>
    <sheet name="Provider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7" l="1"/>
  <c r="F41" i="7"/>
  <c r="E41" i="7"/>
  <c r="D41" i="7"/>
  <c r="G28" i="7"/>
  <c r="F28" i="7"/>
  <c r="E28" i="7"/>
  <c r="D28" i="7"/>
  <c r="G15" i="7"/>
  <c r="F15" i="7"/>
  <c r="E15" i="7"/>
  <c r="D15" i="7"/>
  <c r="P5" i="5"/>
  <c r="O5" i="5"/>
  <c r="P4" i="5"/>
  <c r="O4" i="5"/>
  <c r="P3" i="5"/>
  <c r="O3" i="5"/>
  <c r="P2" i="5"/>
  <c r="O2" i="5"/>
  <c r="P3" i="4"/>
  <c r="P4" i="4"/>
  <c r="P5" i="4"/>
  <c r="P2" i="4"/>
  <c r="O3" i="4"/>
  <c r="O4" i="4"/>
  <c r="O5" i="4"/>
  <c r="O2" i="4"/>
  <c r="P3" i="3"/>
  <c r="P4" i="3"/>
  <c r="P2" i="3"/>
  <c r="O3" i="3"/>
  <c r="O4" i="3"/>
  <c r="O2" i="3"/>
  <c r="E41" i="1" l="1"/>
  <c r="F41" i="1"/>
  <c r="G41" i="1"/>
  <c r="K41" i="1"/>
  <c r="L41" i="1"/>
  <c r="M41" i="1"/>
  <c r="N41" i="1"/>
  <c r="D41" i="1"/>
  <c r="K28" i="1"/>
  <c r="L28" i="1"/>
  <c r="M28" i="1"/>
  <c r="N28" i="1"/>
  <c r="E28" i="1"/>
  <c r="F28" i="1"/>
  <c r="G28" i="1"/>
  <c r="D28" i="1"/>
  <c r="L15" i="1"/>
  <c r="M15" i="1"/>
  <c r="N15" i="1"/>
  <c r="K15" i="1"/>
  <c r="E15" i="1"/>
  <c r="F15" i="1"/>
  <c r="G15" i="1"/>
  <c r="D15" i="1"/>
</calcChain>
</file>

<file path=xl/sharedStrings.xml><?xml version="1.0" encoding="utf-8"?>
<sst xmlns="http://schemas.openxmlformats.org/spreadsheetml/2006/main" count="2589" uniqueCount="882">
  <si>
    <t>Jurisdiction</t>
  </si>
  <si>
    <t>Provider Type</t>
  </si>
  <si>
    <t>Total Licensed Providers</t>
  </si>
  <si>
    <t>Large Family Child Care Home</t>
  </si>
  <si>
    <t>Letter of Compliance Facility</t>
  </si>
  <si>
    <t>Licensed Child Care Center</t>
  </si>
  <si>
    <t>Registered Family Child Care</t>
  </si>
  <si>
    <t>Howard</t>
  </si>
  <si>
    <t xml:space="preserve">                          -  </t>
  </si>
  <si>
    <t>Year 2022</t>
  </si>
  <si>
    <t>Year 2023</t>
  </si>
  <si>
    <t>Year 2024</t>
  </si>
  <si>
    <t>County</t>
  </si>
  <si>
    <t>Year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</si>
  <si>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</si>
  <si>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</si>
  <si>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</si>
  <si>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</si>
  <si>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</si>
  <si>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</si>
  <si>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</si>
  <si>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</si>
  <si>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</si>
  <si>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</si>
  <si>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</si>
  <si>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</si>
  <si>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Total</t>
  </si>
  <si>
    <t>Average</t>
  </si>
  <si>
    <t>Horward</t>
  </si>
  <si>
    <t>Provider Names</t>
  </si>
  <si>
    <t>Facility Name</t>
  </si>
  <si>
    <t>Address</t>
  </si>
  <si>
    <t>School Name</t>
  </si>
  <si>
    <t>Program Type</t>
  </si>
  <si>
    <t>License Status</t>
  </si>
  <si>
    <t>ABC Daycare Inc. DBA Little Lighthouse</t>
  </si>
  <si>
    <t>Chevrolet Drive, Ellicott City, MD 21042</t>
  </si>
  <si>
    <t>Howard County</t>
  </si>
  <si>
    <t>CTR</t>
  </si>
  <si>
    <t>Open</t>
  </si>
  <si>
    <t>Adetowun Ojoibukun</t>
  </si>
  <si>
    <t>No Know DBA</t>
  </si>
  <si>
    <t>North Laurel Road, Laurel, MD 20723</t>
  </si>
  <si>
    <t>FCCH</t>
  </si>
  <si>
    <t>Afshan Masood</t>
  </si>
  <si>
    <t>Washington Avenue, Laurel, MD 20723</t>
  </si>
  <si>
    <t>Aisha Arif</t>
  </si>
  <si>
    <t>Green Mountain Circle, Columbia , MD 21044</t>
  </si>
  <si>
    <t>Aishatu Banjoko</t>
  </si>
  <si>
    <t>Skyrock Ct, Columbia, MD 21046</t>
  </si>
  <si>
    <t>Alexis Adams</t>
  </si>
  <si>
    <t>Bellfall Court, Columbia, MD 21045</t>
  </si>
  <si>
    <t>Alia Malik</t>
  </si>
  <si>
    <t>Cornshock Ct, Columbia, MD 21045</t>
  </si>
  <si>
    <t>Alina Romanenko</t>
  </si>
  <si>
    <t>Music Fairytale Daycare, LLC</t>
  </si>
  <si>
    <t>Roundhill Road, Ellicott City, MD 21043</t>
  </si>
  <si>
    <t>All Aboard Early Learning Center</t>
  </si>
  <si>
    <t>Little Patuxent Parkway, Columbia, MD 21044</t>
  </si>
  <si>
    <t>All Aboard Early Learning Center North</t>
  </si>
  <si>
    <t>Harpers Farm Rd, Columbia, MD 21044</t>
  </si>
  <si>
    <t>Alla Protsenko</t>
  </si>
  <si>
    <t>Furrow Avenue, Ellicott City, MD 21042</t>
  </si>
  <si>
    <t>Alphabets Montessori School</t>
  </si>
  <si>
    <t>Meadowridge Center Dr, Elkridge, MD 21075</t>
  </si>
  <si>
    <t>Alyssa Cunningham</t>
  </si>
  <si>
    <t>No Known DBA</t>
  </si>
  <si>
    <t>Lasting Light Way, Columbia, MD 21045</t>
  </si>
  <si>
    <t>Amany Elsigai</t>
  </si>
  <si>
    <t>Millbury Court, Elkridge, MD 21075</t>
  </si>
  <si>
    <t>Rockburn Elementary</t>
  </si>
  <si>
    <t>Amy Justice</t>
  </si>
  <si>
    <t>2nd Avenue, Hanover, MD 21076</t>
  </si>
  <si>
    <t>Ana Lewis</t>
  </si>
  <si>
    <t>Ruxton Dr, Elkridge, MD 21075</t>
  </si>
  <si>
    <t>Andrea White</t>
  </si>
  <si>
    <t>Peace Chimes Family Child Care</t>
  </si>
  <si>
    <t>Peace Chimes Court, Columbia, MD 21045</t>
  </si>
  <si>
    <t>Andrii Trofymenko</t>
  </si>
  <si>
    <t>Tunemaker Terrace, Columbia, MD 21045</t>
  </si>
  <si>
    <t>Angela Ashby</t>
  </si>
  <si>
    <t>Grant Avenue, Laurel, MD 20723</t>
  </si>
  <si>
    <t>Angela Lamberti</t>
  </si>
  <si>
    <t>Rosinante Run, Columbia, MD 21045</t>
  </si>
  <si>
    <t>Angela Moore</t>
  </si>
  <si>
    <t>Canterbury Riding, Laurel, MD 20723</t>
  </si>
  <si>
    <t>Angels After Care</t>
  </si>
  <si>
    <t>Ilchester Road, Ellicott City, MD 21043</t>
  </si>
  <si>
    <t>Anna Smith</t>
  </si>
  <si>
    <t>McIver Road, Laurel, MD 20723</t>
  </si>
  <si>
    <t>Hammond Elementary</t>
  </si>
  <si>
    <t>Antoinette Rogic</t>
  </si>
  <si>
    <t>Hadleigh Ct, Laurel, MD 20723</t>
  </si>
  <si>
    <t>Forest Ridge Elementary</t>
  </si>
  <si>
    <t>April Poole</t>
  </si>
  <si>
    <t>Ducketts Lane, Elkridge, MD 21075</t>
  </si>
  <si>
    <t>Asifa Hussain</t>
  </si>
  <si>
    <t>Short Wheel Way, Columbia, MD 21045</t>
  </si>
  <si>
    <t>Atholton Adventist Academy</t>
  </si>
  <si>
    <t>Martin Road , Columbia, MD 21044</t>
  </si>
  <si>
    <t>LOC</t>
  </si>
  <si>
    <t>Atholton Elementary SAS</t>
  </si>
  <si>
    <t>Seneca Drive, Columbia, MD 21046</t>
  </si>
  <si>
    <t>Atholton Elementary</t>
  </si>
  <si>
    <t>Aya Montessori</t>
  </si>
  <si>
    <t>Ayesha Syed</t>
  </si>
  <si>
    <t>Old Scaggsville Rd, Laurel, MD 20723</t>
  </si>
  <si>
    <t>Azra Fatima</t>
  </si>
  <si>
    <t>Fens Hollow , Laurel, MD 20723</t>
  </si>
  <si>
    <t>Bambini Childcare Ellicott City</t>
  </si>
  <si>
    <t>Village Crest Dr, Ellicott City, MD 21043</t>
  </si>
  <si>
    <t>Bauder Education Center at Long Reach</t>
  </si>
  <si>
    <t>Cloudleap Court Suite 10, Columbia, MD 21045</t>
  </si>
  <si>
    <t>Bayarmaa Batchuluun</t>
  </si>
  <si>
    <t>Winterlong Way, Columbia, MD 21044</t>
  </si>
  <si>
    <t>Swansfield Elementary</t>
  </si>
  <si>
    <t>Bellows Spring Recreation Prog</t>
  </si>
  <si>
    <t>Old Stockbridge Dr, Ellicott City, MD 21043</t>
  </si>
  <si>
    <t>Bet Yeladim Preschool</t>
  </si>
  <si>
    <t>State Route 108 Suite D, Columbia, MD 21045</t>
  </si>
  <si>
    <t>Bethany Corrie</t>
  </si>
  <si>
    <t>Winter Moss Court, Columbia, MD 21045</t>
  </si>
  <si>
    <t>Bethany Lane Baptist Church Child Care Center</t>
  </si>
  <si>
    <t>Bethany Lane, Ellicott City, MD 21042</t>
  </si>
  <si>
    <t>Bethel Christian Academy Campus 1</t>
  </si>
  <si>
    <t>Savage-Guilford Road, Savage, MD 20763</t>
  </si>
  <si>
    <t>Beverly Sherman</t>
  </si>
  <si>
    <t>Hanover Road, Hanover, MD 21076</t>
  </si>
  <si>
    <t>Elkridge Elementary</t>
  </si>
  <si>
    <t>Blastoff Learning Center of Ellicott City</t>
  </si>
  <si>
    <t>Dorsey Hall Dr, Ellicott City, MD 21042</t>
  </si>
  <si>
    <t>Blooming Buds Learning Center</t>
  </si>
  <si>
    <t>Old Columbia Road, Columbia, MD 21046</t>
  </si>
  <si>
    <t>Bollman Bridge Extended Recreation Program</t>
  </si>
  <si>
    <t>Savage Guilford Road, Jessup, MD 20794</t>
  </si>
  <si>
    <t>Bollman Bridge Elementary</t>
  </si>
  <si>
    <t>Brittany Brady</t>
  </si>
  <si>
    <t>Queen Maria Court, Columbia, MD 21045</t>
  </si>
  <si>
    <t>Brookfield Christian School</t>
  </si>
  <si>
    <t>Cedar Lane, Columbia, MD 21044</t>
  </si>
  <si>
    <t>Ten Oaks Road, Clarksville, MD 21029</t>
  </si>
  <si>
    <t>Clarksville Elementary</t>
  </si>
  <si>
    <t>West Market Place Suite A, Fulton, MD 20759</t>
  </si>
  <si>
    <t>Fulton Elementary</t>
  </si>
  <si>
    <t>Bryant Woods Elementary SAS</t>
  </si>
  <si>
    <t>Blue Heron Lane, Columbia, MD 21044</t>
  </si>
  <si>
    <t>Bryant Woods Elementary</t>
  </si>
  <si>
    <t>Bryant Woods Montessori Children's House</t>
  </si>
  <si>
    <t>Green Mountain Circle, Columbia, MD 21044</t>
  </si>
  <si>
    <t>Building Kidz of Columbia</t>
  </si>
  <si>
    <t>Homespun Dr, Columbia, MD 21045</t>
  </si>
  <si>
    <t>Bushy Park Extended Recreation Program</t>
  </si>
  <si>
    <t>Carrs Mill Road, Glenwood, MD 21738</t>
  </si>
  <si>
    <t>Bushy Park Elementary</t>
  </si>
  <si>
    <t>Carmelina Almonte</t>
  </si>
  <si>
    <t>Tall Pin Oak Dr, Elkridge, MD 21075</t>
  </si>
  <si>
    <t>Carolyn Kirkland</t>
  </si>
  <si>
    <t>Eliots Oak Road, Columbia, MD 21044</t>
  </si>
  <si>
    <t>Cecile Bennett</t>
  </si>
  <si>
    <t>Briar Oak Ct, Ellicott City, MD 21043</t>
  </si>
  <si>
    <t>Ilchester Elementary</t>
  </si>
  <si>
    <t>Celebration Christian Academy</t>
  </si>
  <si>
    <t>Riverwood Dr, Columbia, MD 21046</t>
  </si>
  <si>
    <t>Celebree Learning Center</t>
  </si>
  <si>
    <t>Baltimore National Pike, Ellicott City, MD 21042</t>
  </si>
  <si>
    <t>Centennial Lane Elementary</t>
  </si>
  <si>
    <t>Birmingham Way, Woodstock, MD 21163</t>
  </si>
  <si>
    <t>Waverly Elementary (Howard)</t>
  </si>
  <si>
    <t>Celebree of Elkridge</t>
  </si>
  <si>
    <t>Marshalee Drive, Elkridge, MD 21075</t>
  </si>
  <si>
    <t>Celebree School of Columbia South</t>
  </si>
  <si>
    <t>Hermann Drive, Columbia , MD 21045</t>
  </si>
  <si>
    <t>Celebree School of Columbia- North</t>
  </si>
  <si>
    <t>Rumsey Rd., Columbia, MD 21045</t>
  </si>
  <si>
    <t>Centennial Lane Elementary SAS</t>
  </si>
  <si>
    <t>Centennial Lane, Ellicott City, MD 21042</t>
  </si>
  <si>
    <t>Chanel Griffin</t>
  </si>
  <si>
    <t>Knighthood Lane, Columbia , MD 21045</t>
  </si>
  <si>
    <t>Chapelgate Christian Academy</t>
  </si>
  <si>
    <t>Marriottsville Road, Marriottsville, MD 21104</t>
  </si>
  <si>
    <t>Charnetta Bailey</t>
  </si>
  <si>
    <t>Corporate Ct, Ellicott City, MD 21042</t>
  </si>
  <si>
    <t>Cheryl Burgess</t>
  </si>
  <si>
    <t>Maxwell Court, Laurel, MD 20723</t>
  </si>
  <si>
    <t>Children &amp; Company</t>
  </si>
  <si>
    <t>Phelps Luck Drive, Columbia, MD 21044</t>
  </si>
  <si>
    <t>Children's Learning Center @ Howard Community College</t>
  </si>
  <si>
    <t>Dragon Place, Columbia, MD 21044</t>
  </si>
  <si>
    <t>Children's Magnet Montessori School</t>
  </si>
  <si>
    <t>Old Washington Road, Elkridge, MD 21075</t>
  </si>
  <si>
    <t>Children's Manor Montessori School</t>
  </si>
  <si>
    <t>Montgomery Road, Ellicott City, MD 21043</t>
  </si>
  <si>
    <t>Children's Manor Montessori School and Day Care</t>
  </si>
  <si>
    <t>Red Branch Road, Columbia, MD 21045</t>
  </si>
  <si>
    <t>Thunder Hill Elementary</t>
  </si>
  <si>
    <t>Childtime Children's Center</t>
  </si>
  <si>
    <t>D Oakland Mills Road, Columbia, MD 21045</t>
  </si>
  <si>
    <t>Montgomery Rd, Ellicott City, MD 21043</t>
  </si>
  <si>
    <t>Christ Memorial Christian Preschool</t>
  </si>
  <si>
    <t>Shaker Drive, Columbia, MD 21046</t>
  </si>
  <si>
    <t>Christine Hernandez</t>
  </si>
  <si>
    <t>Horsham Drive, Laurel, MD 20723</t>
  </si>
  <si>
    <t>Cindy Santmyer</t>
  </si>
  <si>
    <t>Alice Avenue, Ellicott City, MD 21043</t>
  </si>
  <si>
    <t>Worthington Elementary</t>
  </si>
  <si>
    <t>Clarksville Elementary SAS</t>
  </si>
  <si>
    <t>Clarksville Pike, Clarksville, MD 21029</t>
  </si>
  <si>
    <t>Clarlen Nursery Inc</t>
  </si>
  <si>
    <t>St. Johns Lane Elementary</t>
  </si>
  <si>
    <t>Claudia Cuestas</t>
  </si>
  <si>
    <t>Phelps Luck Drive, Columbia, MD 21045</t>
  </si>
  <si>
    <t>Phelps Luck Elementary</t>
  </si>
  <si>
    <t>Clemens Crossing ElementarySAS</t>
  </si>
  <si>
    <t>Quarterstaff RD, Columbia, MD 21044</t>
  </si>
  <si>
    <t>Clemens Crossing Elementary</t>
  </si>
  <si>
    <t>Columbia Academy at Kendall Ridge</t>
  </si>
  <si>
    <t>University Blvd, Ellicott City, MD 21043</t>
  </si>
  <si>
    <t>Columbia Academy at King's Contrivance</t>
  </si>
  <si>
    <t>Old Columbia Rd, Columbia, MD 21046</t>
  </si>
  <si>
    <t>Columbia Academy at Maple Lawn</t>
  </si>
  <si>
    <t>Maple Lawn Blvd, Fulton, MD 20759</t>
  </si>
  <si>
    <t>Columbia Academy at Thunder Hill</t>
  </si>
  <si>
    <t>State Route 108, Columbia, MD 21045</t>
  </si>
  <si>
    <t>Columbia Academy School</t>
  </si>
  <si>
    <t>Columbia Montessori School</t>
  </si>
  <si>
    <t>Marble Faun Lane , Columbia, MD 21044</t>
  </si>
  <si>
    <t>Cradlerock Children's Center</t>
  </si>
  <si>
    <t>Cradlerock Way, Columbia, MD 21045</t>
  </si>
  <si>
    <t>Cradlerock School (K-8)</t>
  </si>
  <si>
    <t>Cradlerock Elementary SAS</t>
  </si>
  <si>
    <t>Creative Little Minds Learning Center II</t>
  </si>
  <si>
    <t>Lambskin Ln, Columbia, MD 21045</t>
  </si>
  <si>
    <t>Creative Little Minds Learning Center III</t>
  </si>
  <si>
    <t>Columbia Rd, Columbia, MD 21044</t>
  </si>
  <si>
    <t>Cynthia Donovan</t>
  </si>
  <si>
    <t>Dawn Day Drive, Columbia, MD 21045</t>
  </si>
  <si>
    <t>Jeffers Hill Elementary</t>
  </si>
  <si>
    <t>Dara Oriolo</t>
  </si>
  <si>
    <t>Dawn Grisham</t>
  </si>
  <si>
    <t>Huntshire Drive, Elkridge, MD 21075</t>
  </si>
  <si>
    <t>Deep Run Elementary</t>
  </si>
  <si>
    <t>Dayana Vallejo</t>
  </si>
  <si>
    <t>Snow Crystal, Columbia, MD 21044</t>
  </si>
  <si>
    <t>Dayton Oaks Extended Recreation Program</t>
  </si>
  <si>
    <t>Ten Oaks Road, Dayton, MD 21036</t>
  </si>
  <si>
    <t>Debasree Gupta</t>
  </si>
  <si>
    <t>Split Rail Lane, Ellicott City, MD 21042</t>
  </si>
  <si>
    <t>Northfield Elementary</t>
  </si>
  <si>
    <t>Deborah Lam</t>
  </si>
  <si>
    <t>Old Hollow Ln, Ellicott City, MD 21043</t>
  </si>
  <si>
    <t>Deborah Pinion</t>
  </si>
  <si>
    <t>Scaggsville Road, Laurel, MD 20723</t>
  </si>
  <si>
    <t>Deborah Walker</t>
  </si>
  <si>
    <t>Learned Sage, Ellicott City, MD 21042</t>
  </si>
  <si>
    <t>Debra Halper</t>
  </si>
  <si>
    <t>Copperwood Way, Columbia, MD 21046</t>
  </si>
  <si>
    <t>Debra Shaffer</t>
  </si>
  <si>
    <t>Longfellow Elementary</t>
  </si>
  <si>
    <t>Deena Kinnaman</t>
  </si>
  <si>
    <t>Gorman Road, Laurel, MD 20723</t>
  </si>
  <si>
    <t>Deep Run Extended Recreation Program</t>
  </si>
  <si>
    <t>Old Waterloo Road, Elkridge, MD 21075</t>
  </si>
  <si>
    <t>Delali Athiogbey</t>
  </si>
  <si>
    <t>Mayfield Avenue, Elkridge, MD 21075</t>
  </si>
  <si>
    <t>Desiree Richards</t>
  </si>
  <si>
    <t>Laurel Woods Elementary</t>
  </si>
  <si>
    <t>Diana Chaustre Rivera</t>
  </si>
  <si>
    <t>Alice Ave, Ellicott City, MD 21043</t>
  </si>
  <si>
    <t>Diane Bayton</t>
  </si>
  <si>
    <t>Limestone Court, Ellicott City, MD 21043</t>
  </si>
  <si>
    <t>Djuana Livingstone</t>
  </si>
  <si>
    <t>Stevens Forest Road Apartment 3, Columbia, MD 21045</t>
  </si>
  <si>
    <t>Talbott Springs Elementary</t>
  </si>
  <si>
    <t>Doretha King</t>
  </si>
  <si>
    <t>Thunderhill Drive, Columbia, MD 21045</t>
  </si>
  <si>
    <t>Ducketts Lane Recreational Licensed Child Care</t>
  </si>
  <si>
    <t>Dunloggin Middle SAS</t>
  </si>
  <si>
    <t>Northfield Road, Ellicott City, MD 21042</t>
  </si>
  <si>
    <t>East Columbia Preschool</t>
  </si>
  <si>
    <t>Cradlerock Way, Columbia, MD 21046</t>
  </si>
  <si>
    <t>Elizabeth Poole</t>
  </si>
  <si>
    <t>Indian Hill Drive, Sykesville, MD 21784</t>
  </si>
  <si>
    <t>West Friendship Elementary</t>
  </si>
  <si>
    <t>Elizabeth Sipes</t>
  </si>
  <si>
    <t>Goshen Hunt Road, Elkridge, MD 21075</t>
  </si>
  <si>
    <t>Elizabeth Vaughan</t>
  </si>
  <si>
    <t>Spring Showers Way, Ellicott City, MD 21043</t>
  </si>
  <si>
    <t>Elkridge Extended Recreation Program</t>
  </si>
  <si>
    <t>Montgomery Road, Elkridge, MD 21075</t>
  </si>
  <si>
    <t>Emily Feldman</t>
  </si>
  <si>
    <t>Poland Springs Drive, Ellicott City, MD 21042</t>
  </si>
  <si>
    <t>Emmanuel United Methodist Preschool</t>
  </si>
  <si>
    <t>Erica Mack</t>
  </si>
  <si>
    <t>Mystic Court, Columbia, MD 21044</t>
  </si>
  <si>
    <t>Erika Felder</t>
  </si>
  <si>
    <t>Basket Ring Road, Columbia, MD 21045</t>
  </si>
  <si>
    <t>Evergreen Early Learning Center</t>
  </si>
  <si>
    <t>Old Annapolis Road, Columbia, MD 21045</t>
  </si>
  <si>
    <t>Evgeniya Nemcheva</t>
  </si>
  <si>
    <t>Ewa Bieganowska</t>
  </si>
  <si>
    <t>Luckpenny Place, Columbia, MD 21045</t>
  </si>
  <si>
    <t>Falguni Amin</t>
  </si>
  <si>
    <t>Downs Ridge Ct, Elkridge, MD 21075</t>
  </si>
  <si>
    <t>Farahnaz Taghvaei</t>
  </si>
  <si>
    <t>Pindell School Road, Fulton, MD 20759</t>
  </si>
  <si>
    <t>First Lutheran Preschool</t>
  </si>
  <si>
    <t>Chatham Road, Ellicott City, MD 21042</t>
  </si>
  <si>
    <t>First Start Learning Center</t>
  </si>
  <si>
    <t>Huntshire Dr 106, Elkridge, MD 21075</t>
  </si>
  <si>
    <t>Forest Ridge Extended Recreation Program</t>
  </si>
  <si>
    <t>Fulton Extended Recreation Program</t>
  </si>
  <si>
    <t>Skaggsville Road, Fulton, MD 20759</t>
  </si>
  <si>
    <t>Gan Israel Preschool</t>
  </si>
  <si>
    <t>Howes Lane, Columbia, MD 21044</t>
  </si>
  <si>
    <t>Gladis Orjuela</t>
  </si>
  <si>
    <t>Washington Ave, Laurel, MD 20723</t>
  </si>
  <si>
    <t>Gladys Camacho</t>
  </si>
  <si>
    <t>Manahan Dr, Ellicott City, MD 21043</t>
  </si>
  <si>
    <t>Glen Mar Early Learning Center</t>
  </si>
  <si>
    <t>New Cut Road, Ellicott City , MD 21043</t>
  </si>
  <si>
    <t>Glenelg Country School Extended Day &amp; Pre-K Program</t>
  </si>
  <si>
    <t>Folly Quarter Rd, Ellicott City, MD 21042</t>
  </si>
  <si>
    <t>Glenelg United Methodist Church Preschool</t>
  </si>
  <si>
    <t>Burntwoods Road, Glenelg, MD 21737</t>
  </si>
  <si>
    <t>Glenna Webster</t>
  </si>
  <si>
    <t>Waterloo Road, Columbia, MD 21045</t>
  </si>
  <si>
    <t>Global Children Montessori School</t>
  </si>
  <si>
    <t>Baugher Farm Road, Ellicott City, MD 21043</t>
  </si>
  <si>
    <t>Good Beginnings Child Care Center</t>
  </si>
  <si>
    <t>Gorman Crossing Extended Recreation Program</t>
  </si>
  <si>
    <t>Winter Sun Road, Laurel, MD 20723</t>
  </si>
  <si>
    <t>Gorman Crossing Elementary</t>
  </si>
  <si>
    <t>Grace Early Learning Center</t>
  </si>
  <si>
    <t>Greater Montessori School</t>
  </si>
  <si>
    <t>Columbia 100 Parkway, Columbia, MD 21045</t>
  </si>
  <si>
    <t>Quarterstaff Road, Columbia, MD 21044</t>
  </si>
  <si>
    <t>Guilford Elementary SAS</t>
  </si>
  <si>
    <t>Oakland Mills Road, Columbia, MD 21046</t>
  </si>
  <si>
    <t>Guilford Elementary (Howard)</t>
  </si>
  <si>
    <t>Gurkripa Kaur</t>
  </si>
  <si>
    <t>Granite Mills Drive, Ellicott City, MD 21043</t>
  </si>
  <si>
    <t>Hammond Elementary SAS</t>
  </si>
  <si>
    <t>Aladdin Drive, Laurel, MD 20723</t>
  </si>
  <si>
    <t>Hanover Hills Elementary School Extended Recreation Program</t>
  </si>
  <si>
    <t>Banberry Dr., Hanover, MD 21076</t>
  </si>
  <si>
    <t>Hansa Dave</t>
  </si>
  <si>
    <t>Lennox Avenue, Elkridge, MD 21075</t>
  </si>
  <si>
    <t>Happy Sprouts Learning Center</t>
  </si>
  <si>
    <t>Tamar Dr, Columbia, MD 21045</t>
  </si>
  <si>
    <t>Harpreet Suri</t>
  </si>
  <si>
    <t>Harriet Tubman Cultural Center ELC</t>
  </si>
  <si>
    <t>Harriet Tubman Lane, Columbia, MD 21044</t>
  </si>
  <si>
    <t>Haseena Vohra</t>
  </si>
  <si>
    <t>College Square, Columbia, MD 21044</t>
  </si>
  <si>
    <t>Head Start Dasher Green</t>
  </si>
  <si>
    <t>Head Start Ellicott City</t>
  </si>
  <si>
    <t>High Ridge Road, Ellicott City, MD 21043</t>
  </si>
  <si>
    <t>Head Start Old Cedar Lane</t>
  </si>
  <si>
    <t>Beaverkill Road, Columbia, MD 21045</t>
  </si>
  <si>
    <t>Cedar Lane Special Center</t>
  </si>
  <si>
    <t>Hetal Pancholi</t>
  </si>
  <si>
    <t>Loch Less Lane, Laurel, MD 20723</t>
  </si>
  <si>
    <t>Highland Playschool</t>
  </si>
  <si>
    <t>Clarksville Pike, Highland, MD 20777</t>
  </si>
  <si>
    <t>Hilltop Early Learning Center DBA: Hilltop Child Care Center</t>
  </si>
  <si>
    <t>Linden Linthicum Lane, Clarksville, MD 21029</t>
  </si>
  <si>
    <t>Hollifield Station Ext Rec</t>
  </si>
  <si>
    <t>Stonehouse Drive, Ellicott City, MD 21043</t>
  </si>
  <si>
    <t>Hollifield Station Elementary</t>
  </si>
  <si>
    <t>Hope Christian Childcare Center</t>
  </si>
  <si>
    <t>St John Lane, Ellicott City, MD 21042</t>
  </si>
  <si>
    <t>Howard County Conservancy at Belmont</t>
  </si>
  <si>
    <t>Belmont Woods Road, Elkridge, MD 21075</t>
  </si>
  <si>
    <t>Huifei Chen</t>
  </si>
  <si>
    <t>Windflower Drive, Ellicott City, MD 21042</t>
  </si>
  <si>
    <t>Humaira Khan</t>
  </si>
  <si>
    <t>Old Fredrick Road, Marriottsville, MD 21104</t>
  </si>
  <si>
    <t>Hyo-Chin Lee</t>
  </si>
  <si>
    <t>Quiet Times, Columbia, MD 21045</t>
  </si>
  <si>
    <t>ICare Early Learning Center</t>
  </si>
  <si>
    <t>Trotter Rd, Clarksville, MD 21029</t>
  </si>
  <si>
    <t>iCare ELC 2</t>
  </si>
  <si>
    <t>Day Long Lane, Clarksville, MD 21029</t>
  </si>
  <si>
    <t>Ilchester Extended Recreation Program</t>
  </si>
  <si>
    <t>India Jackson</t>
  </si>
  <si>
    <t>Meadowridge Rd, Elkridge, MD 21075</t>
  </si>
  <si>
    <t>Iqra Javaid</t>
  </si>
  <si>
    <t>Hickory Limb, Columbia, MD 21045</t>
  </si>
  <si>
    <t>Jackeline Echeverry</t>
  </si>
  <si>
    <t>Marioak Dr., Elkridge, MD 21075</t>
  </si>
  <si>
    <t>Jamala Ibrahimi</t>
  </si>
  <si>
    <t>Old Frederick Road, Mount Airy, MD 21771</t>
  </si>
  <si>
    <t>Janel Jackson</t>
  </si>
  <si>
    <t>Iron Ore, Elkridge, MD 21075</t>
  </si>
  <si>
    <t>Janet Chapman</t>
  </si>
  <si>
    <t>Triadelphia Road, Glenelg, MD 21737</t>
  </si>
  <si>
    <t>Triadelphia Ridge Elementary</t>
  </si>
  <si>
    <t>Janet Keyser</t>
  </si>
  <si>
    <t>Moving Water Ln, Columbia, MD 21046</t>
  </si>
  <si>
    <t>Jasmin Elliott</t>
  </si>
  <si>
    <t>Jean Jungblut</t>
  </si>
  <si>
    <t>Briar Court, Elkridge, MD 21075</t>
  </si>
  <si>
    <t>Jeanine White-McCombs</t>
  </si>
  <si>
    <t>Deer Run, Laurel, MD 20723</t>
  </si>
  <si>
    <t>Jeffers Hill SAS</t>
  </si>
  <si>
    <t>Tamar Drive, Columbia, MD 21045</t>
  </si>
  <si>
    <t>Jessica Taukulis</t>
  </si>
  <si>
    <t>Whiskey Bottom Rd., Laurel, MD 20723</t>
  </si>
  <si>
    <t>Jigna Bhatt</t>
  </si>
  <si>
    <t>Deep Water Lane, Laurel, MD 20723</t>
  </si>
  <si>
    <t>Joyce Boateng</t>
  </si>
  <si>
    <t>Alchemy Way, Elkridge, MD 21075</t>
  </si>
  <si>
    <t>Julia Brown School</t>
  </si>
  <si>
    <t>Madison Avenue , Laurel, MD 20723</t>
  </si>
  <si>
    <t>Owen Brown Road , Columbia, MD 21045</t>
  </si>
  <si>
    <t>Julia Vance</t>
  </si>
  <si>
    <t>Early Spring Way, Columbia, MD 21046</t>
  </si>
  <si>
    <t>Karandeep Gill</t>
  </si>
  <si>
    <t>Castlewood Court, Laurel, MD 20723</t>
  </si>
  <si>
    <t>Karen Raines</t>
  </si>
  <si>
    <t>Woodburn Avenue, Elkridge, MD 21075</t>
  </si>
  <si>
    <t>Karyn Furr</t>
  </si>
  <si>
    <t>Summer Haven Lane, Hanover, MD 21076</t>
  </si>
  <si>
    <t>Kathleen McTavish</t>
  </si>
  <si>
    <t>Mary Lee Lane, Laurel, MD 20723</t>
  </si>
  <si>
    <t>Kathryn Henderson</t>
  </si>
  <si>
    <t>Mellow Ct., Laurel, MD 20723</t>
  </si>
  <si>
    <t>Kathryn Miller</t>
  </si>
  <si>
    <t>Old Frederick Road, Marriottsville, MD 21104</t>
  </si>
  <si>
    <t>Kathy Schappell</t>
  </si>
  <si>
    <t>Howard Lodge Drive, Sykesville, MD 21784</t>
  </si>
  <si>
    <t>Keith Miller</t>
  </si>
  <si>
    <t>Pastora Place, Columbia, MD 21045</t>
  </si>
  <si>
    <t>Stevens Forest Elementary</t>
  </si>
  <si>
    <t>Kelley Pitts</t>
  </si>
  <si>
    <t>Sun Circle Way, Columbia, MD 21044</t>
  </si>
  <si>
    <t>Kelly Guzman</t>
  </si>
  <si>
    <t>Rainleaf Court, Columbia, MD 21046</t>
  </si>
  <si>
    <t>Kenya Hobbs</t>
  </si>
  <si>
    <t>Friar Tuck Ct, Elkridge, MD 21075</t>
  </si>
  <si>
    <t>Kerstin Milauskas</t>
  </si>
  <si>
    <t>Woodland Forest Drive, Elkridge, MD 21075</t>
  </si>
  <si>
    <t>Kharun Tariq</t>
  </si>
  <si>
    <t>Norfolk Avenue, Laurel, MD 20723</t>
  </si>
  <si>
    <t>Kia Sherif</t>
  </si>
  <si>
    <t>Natures Road, Columbia, MD 21046</t>
  </si>
  <si>
    <t>Kid's Habitat II</t>
  </si>
  <si>
    <t>Thunder Hill Road, Columbia, MD 21045</t>
  </si>
  <si>
    <t>Kid's Kingdom Child Care and Learning Center</t>
  </si>
  <si>
    <t>Washington Boulevard, Laurel, MD 20723</t>
  </si>
  <si>
    <t>Kid's Time Out Drop-In Child Care</t>
  </si>
  <si>
    <t>Clarksville Square Drive, Clarksville, MD 21029</t>
  </si>
  <si>
    <t>Kiddie Academy of Columbia</t>
  </si>
  <si>
    <t>Sterrett Place, Columbia, MD 21044</t>
  </si>
  <si>
    <t>Kiddie Academy of Elkridge</t>
  </si>
  <si>
    <t>Kiddie Academy of Ellicott City</t>
  </si>
  <si>
    <t>Kiddie Mundo</t>
  </si>
  <si>
    <t>Lambskin Lane, Columbia, MD 21045</t>
  </si>
  <si>
    <t>Kidz Play N Learn</t>
  </si>
  <si>
    <t>Cedar Ln, Columbia, MD 21044</t>
  </si>
  <si>
    <t>KIDZPLAYNLEARN2</t>
  </si>
  <si>
    <t>Kim Plitt</t>
  </si>
  <si>
    <t>McKenzie Road, Ellicott City, MD 21042</t>
  </si>
  <si>
    <t>Kimberly Smith</t>
  </si>
  <si>
    <t>Baltimore Street, Savage, MD 20763</t>
  </si>
  <si>
    <t>Kimberly Stinnett</t>
  </si>
  <si>
    <t>Wooded Way, Columbia, MD 21044</t>
  </si>
  <si>
    <t>KinderCare 073274</t>
  </si>
  <si>
    <t>Columbia Gateway Dr, Columbia, MD 21046</t>
  </si>
  <si>
    <t>KinderCare-000350</t>
  </si>
  <si>
    <t>Sunny Spring, Columbia, MD 21044</t>
  </si>
  <si>
    <t>KinderCare-301533</t>
  </si>
  <si>
    <t>Knowledge Beginnings-073204</t>
  </si>
  <si>
    <t>Montpelier Road, Laurel, MD 20723</t>
  </si>
  <si>
    <t>La Petite Child Care</t>
  </si>
  <si>
    <t>Columbia 100 Pkwy, Columbia, MD 21045</t>
  </si>
  <si>
    <t>Edenbrook Drive, Columbia, MD 21046</t>
  </si>
  <si>
    <t>Frederick Road, Ellicott City, MD 21042</t>
  </si>
  <si>
    <t>LaGerald Pulley II</t>
  </si>
  <si>
    <t>Pine Run Court, Ellicott City, MD 21043</t>
  </si>
  <si>
    <t>Laurel Woods Extended Recreation Program</t>
  </si>
  <si>
    <t>N. Laurel Rd., Laurel, MD 20723</t>
  </si>
  <si>
    <t>Laurie Alcock</t>
  </si>
  <si>
    <t>Sweet Birch Court, Ellicott City, MD 21043</t>
  </si>
  <si>
    <t>Lesley Wood</t>
  </si>
  <si>
    <t>River Run, Columbia, MD 21044</t>
  </si>
  <si>
    <t>Pointers Run Elementary</t>
  </si>
  <si>
    <t>Lima Danishjo</t>
  </si>
  <si>
    <t>Wooded Glen Court, Ellicott City, MD 21043</t>
  </si>
  <si>
    <t>Linda Elliott</t>
  </si>
  <si>
    <t>Dewey Drive, Columbia, MD 21044</t>
  </si>
  <si>
    <t>Lisa McCourry</t>
  </si>
  <si>
    <t>Willow Green Way, Marriottsville, MD 21104</t>
  </si>
  <si>
    <t>Lisa Stewart-Whiteman</t>
  </si>
  <si>
    <t>Kilrain Court, Columbia, MD 21045</t>
  </si>
  <si>
    <t>Lisbon Extended Recreation Program</t>
  </si>
  <si>
    <t>Frederick Road, Lisbon, MD 21765</t>
  </si>
  <si>
    <t>Lisbon Elementary</t>
  </si>
  <si>
    <t>Lisbon Pre-Kindergarten</t>
  </si>
  <si>
    <t>Watersville Road, Mount Airy, MD 21771</t>
  </si>
  <si>
    <t>Little Eggs Child Care Center</t>
  </si>
  <si>
    <t>Banbury Drive, Hanover, MD 21076</t>
  </si>
  <si>
    <t>Little Oak Nursery School</t>
  </si>
  <si>
    <t>Sykesville Road, Sykesville, MD 21784</t>
  </si>
  <si>
    <t>Little Scholar's Playhouse Too</t>
  </si>
  <si>
    <t>New Colony Blvd, Elkridge, MD 21075</t>
  </si>
  <si>
    <t>Little Stars Learning Center, Inc.</t>
  </si>
  <si>
    <t>Lokeshwari Pendem</t>
  </si>
  <si>
    <t>Susies Way, Ellicott City, MD 21042</t>
  </si>
  <si>
    <t>Longfellow Elementary SAS</t>
  </si>
  <si>
    <t>Hesperus Drive, Columbia, MD 21044</t>
  </si>
  <si>
    <t>Longfellow Nursery School</t>
  </si>
  <si>
    <t>Lorena Hernandez</t>
  </si>
  <si>
    <t>Spring Plow Lane, Columbia, MD 21045</t>
  </si>
  <si>
    <t>Lucia Beighey</t>
  </si>
  <si>
    <t>Burnt Mountain Path, Columbia, MD 21045</t>
  </si>
  <si>
    <t>Waterloo Elementary</t>
  </si>
  <si>
    <t>Luzia de Souza Francisco</t>
  </si>
  <si>
    <t>Dawnblush Court, Columbia, MD 21045</t>
  </si>
  <si>
    <t>Madelyn Carr</t>
  </si>
  <si>
    <t>Parallel Lane, Columbia, MD 21045</t>
  </si>
  <si>
    <t>Madhavi Kumari Balam</t>
  </si>
  <si>
    <t>Balsam Way, Laurel, MD 20723</t>
  </si>
  <si>
    <t>Manga Sangem</t>
  </si>
  <si>
    <t>Vincents Way, Clarksville, MD 21029</t>
  </si>
  <si>
    <t>Manor Woods Extended Recreation Program</t>
  </si>
  <si>
    <t>Manor Woods Elementary</t>
  </si>
  <si>
    <t>Maplelawn</t>
  </si>
  <si>
    <t>Guilford Road, Jessup, MD 20794</t>
  </si>
  <si>
    <t>Marakie Yilma</t>
  </si>
  <si>
    <t>Marci Altman</t>
  </si>
  <si>
    <t>Timberview Drive, Elkridge, MD 21075</t>
  </si>
  <si>
    <t>Maria Trout</t>
  </si>
  <si>
    <t>Allen Lane, Columbia, MD 21045</t>
  </si>
  <si>
    <t>Mariam Vohra</t>
  </si>
  <si>
    <t>Setting Sun Way, Columbia, MD 21046</t>
  </si>
  <si>
    <t>Marna Jack</t>
  </si>
  <si>
    <t>Ridgeview Drive, Columbia, MD 21046</t>
  </si>
  <si>
    <t>Mary Hoagland</t>
  </si>
  <si>
    <t>Rain Flower Way, Columbia, MD 21046</t>
  </si>
  <si>
    <t>Mary Kretsi</t>
  </si>
  <si>
    <t>Maryam Ghahhari</t>
  </si>
  <si>
    <t>April Brook Circle, Columbia, MD 21045</t>
  </si>
  <si>
    <t>Maryam Imran</t>
  </si>
  <si>
    <t>Broken Wing Ct, Columbia, MD 21045</t>
  </si>
  <si>
    <t>Maryam Shakouri</t>
  </si>
  <si>
    <t>Melissa Van Deusen</t>
  </si>
  <si>
    <t>Fox Grape Terrace, Columbia, MD 21044</t>
  </si>
  <si>
    <t>Meloti Wondewsen</t>
  </si>
  <si>
    <t>Bare Bush Path, Columbia, MD 21044</t>
  </si>
  <si>
    <t>Michele Civiello</t>
  </si>
  <si>
    <t>Mustang Path, Glenwood, MD 21738</t>
  </si>
  <si>
    <t>Michelle Worsley</t>
  </si>
  <si>
    <t>Fairhaven Place, Jessup, MD 20794</t>
  </si>
  <si>
    <t>Mildred Mattocks</t>
  </si>
  <si>
    <t>Minakshiben Patel</t>
  </si>
  <si>
    <t>Crape Myrtle Court, Ellicott City , MD 21042</t>
  </si>
  <si>
    <t>Mingjing Zhang</t>
  </si>
  <si>
    <t>Charmed Days, Laurel, MD 20723</t>
  </si>
  <si>
    <t>Miss Cheyenne's Pre-K Academy</t>
  </si>
  <si>
    <t>Log Chain Road, Columbia, MD 21045</t>
  </si>
  <si>
    <t>Miya Hudson</t>
  </si>
  <si>
    <t>Rogers Avenue, Ellicott City, MD 21043</t>
  </si>
  <si>
    <t>Monica Pino-Thompson</t>
  </si>
  <si>
    <t>Mount Airy Christian Academy</t>
  </si>
  <si>
    <t>Mt Hebron Nursery School</t>
  </si>
  <si>
    <t>Mt Hebron Drive, Ellicott City, MD 21042</t>
  </si>
  <si>
    <t>Mt. Zion Christian Preschool</t>
  </si>
  <si>
    <t>Scaggsville Road, Highland, MD 2077</t>
  </si>
  <si>
    <t>Nafisa Roshan</t>
  </si>
  <si>
    <t>Cedarview Court, West Friendship, MD 21794</t>
  </si>
  <si>
    <t>Naheed Lodin</t>
  </si>
  <si>
    <t>Patterson Farm Ct., Glenelg, MD 21737</t>
  </si>
  <si>
    <t>Nahid Chowdhury</t>
  </si>
  <si>
    <t>Hollifield Lane, Ellicott City, MD 21043</t>
  </si>
  <si>
    <t>Nahid Shirazee</t>
  </si>
  <si>
    <t>Bishops Gate Ln, Laurel, MD 20723</t>
  </si>
  <si>
    <t>Nancy Cauley</t>
  </si>
  <si>
    <t>Country View Way, Mount Airy, MD 21771</t>
  </si>
  <si>
    <t>Nancy Coon</t>
  </si>
  <si>
    <t>Leishear Road, Laurel, MD 20723</t>
  </si>
  <si>
    <t>Narges Talaei</t>
  </si>
  <si>
    <t>Drystraw Drive, Columbia, MD 21045</t>
  </si>
  <si>
    <t>Natacha Michel</t>
  </si>
  <si>
    <t>HOME4KIDZ, LLC</t>
  </si>
  <si>
    <t>Wesleigh Dr, Columbia, MD 21046</t>
  </si>
  <si>
    <t>Natalie Burgess</t>
  </si>
  <si>
    <t>Old Scaggsville Road, Laurel, MD 20723</t>
  </si>
  <si>
    <t>Nicole Smith</t>
  </si>
  <si>
    <t>Columbia Road, Columbia , MD 21044</t>
  </si>
  <si>
    <t>Running Brook Elementary</t>
  </si>
  <si>
    <t>Nina Harris</t>
  </si>
  <si>
    <t>Hickory Log Circle, Columbia, MD 21045</t>
  </si>
  <si>
    <t>Nivedita Gunasekaran</t>
  </si>
  <si>
    <t>Potter Place, Elkridge, MD 21075</t>
  </si>
  <si>
    <t>Northcrest Montessori</t>
  </si>
  <si>
    <t>Wake Forest Drive, Clarksville , MD 21029</t>
  </si>
  <si>
    <t>Northfield Elementary SAS</t>
  </si>
  <si>
    <t>Northfield Rd, Ellicott City, MD 21042</t>
  </si>
  <si>
    <t>Noshaba Rahman</t>
  </si>
  <si>
    <t>Westcott Pl, Clarksville, MD 21029</t>
  </si>
  <si>
    <t>Nusrat Raja</t>
  </si>
  <si>
    <t>Hollow Court, Ellicott City, MD 21043</t>
  </si>
  <si>
    <t>Odile Houetognon</t>
  </si>
  <si>
    <t>Rise &amp; Strive Family Child Care LLC</t>
  </si>
  <si>
    <t>Oladunni Aromire</t>
  </si>
  <si>
    <t>Hooks Lane, Elkridge, MD 21075</t>
  </si>
  <si>
    <t>Olivia Parzow</t>
  </si>
  <si>
    <t>Harding Road, Laurel, MD 20723</t>
  </si>
  <si>
    <t>Our Lady of Perpetual Help</t>
  </si>
  <si>
    <t>Our Lady of Perpetual Help Preschool</t>
  </si>
  <si>
    <t>Pamela Simbert</t>
  </si>
  <si>
    <t>Governor Grayson Way, Ellicott City, MD 21043</t>
  </si>
  <si>
    <t>Parisi Jump Start Before and After Care Program</t>
  </si>
  <si>
    <t>Berger Road, Columbia, MD 21046</t>
  </si>
  <si>
    <t>Patricia Burford</t>
  </si>
  <si>
    <t>Pfefferkorn Road, West Friendship, MD 21794</t>
  </si>
  <si>
    <t>Penka Stanimirova</t>
  </si>
  <si>
    <t>Crimson Tree Court, Columbia, MD 21044</t>
  </si>
  <si>
    <t>Peter Pan Learning Center</t>
  </si>
  <si>
    <t>Driver Road, Marriottsville, MD 21104</t>
  </si>
  <si>
    <t>Phelps Luck SAS</t>
  </si>
  <si>
    <t>Old Stone Court, Columbia, MD 21045</t>
  </si>
  <si>
    <t>Philomina Ogordi</t>
  </si>
  <si>
    <t>Pinebrook Montessori Academy</t>
  </si>
  <si>
    <t>Baltimore National Pike, Ellicott City, MD 21043</t>
  </si>
  <si>
    <t>Pointers Run Extended Recreation Program</t>
  </si>
  <si>
    <t>Trotter Road, Clarksville, MD 21029</t>
  </si>
  <si>
    <t>Poornima Hinge</t>
  </si>
  <si>
    <t>John Galt Way, Elkridge, MD 21075</t>
  </si>
  <si>
    <t>Pricilla Tounoudjou</t>
  </si>
  <si>
    <t>Morning Dew Care, LLC</t>
  </si>
  <si>
    <t>Primrose School of Ellicott City</t>
  </si>
  <si>
    <t>Corporate Ct., Ellicott City, MD 21042</t>
  </si>
  <si>
    <t>Primrose School of SouthEast Ellicott City</t>
  </si>
  <si>
    <t>Waterloo Road, Ellicott City, MD 21043</t>
  </si>
  <si>
    <t>Public School Employee Child Development Program at Marriotts Ridge HS</t>
  </si>
  <si>
    <t>Woodford Drive, Marriottsville, MD 21104</t>
  </si>
  <si>
    <t>Public School Employees Child Development Program at Atholton High School</t>
  </si>
  <si>
    <t>Freetown Road, Columbia, MD 21044</t>
  </si>
  <si>
    <t>Public School Employees Child Development Program at Long Reach HS</t>
  </si>
  <si>
    <t>Dobbin Road, Columbia, MD 21045</t>
  </si>
  <si>
    <t>Public School Employees Child Development Program at River Hill HS</t>
  </si>
  <si>
    <t>Public School Employees Child Development Program-Oakland Mills</t>
  </si>
  <si>
    <t>Kilimanjaro Road, Columbia, MD 21045</t>
  </si>
  <si>
    <t>Public School Employees' Child Development Program at Hammond High School</t>
  </si>
  <si>
    <t>Guilford Road, Columbia, MD 21046</t>
  </si>
  <si>
    <t>Rachylle McGee</t>
  </si>
  <si>
    <t>Greenshoot Court, Columbia, MD 21044</t>
  </si>
  <si>
    <t>Rakshanda Malik</t>
  </si>
  <si>
    <t>Chantel Ct, Ellicott City, MD 21043</t>
  </si>
  <si>
    <t>Rashida Iqbal-Vohra</t>
  </si>
  <si>
    <t>Winter Rose Path, Columbia, MD 21045</t>
  </si>
  <si>
    <t>Rashmi Tandon</t>
  </si>
  <si>
    <t>Regina Maier-Manuel</t>
  </si>
  <si>
    <t>Sinbad Place, Columbia, MD 21045</t>
  </si>
  <si>
    <t>Rehana Manejwala</t>
  </si>
  <si>
    <t>Summer Home Terrace, Elkridge, MD 21075</t>
  </si>
  <si>
    <t>Resurrection St.Paul Ed-U-Care</t>
  </si>
  <si>
    <t>Paulskirk Drive, Ellicott City, MD 21042</t>
  </si>
  <si>
    <t>Robin Robinson</t>
  </si>
  <si>
    <t>Summer Cypress Court, Elkridge, MD 21075</t>
  </si>
  <si>
    <t>Rockburn Extended Recreation Program</t>
  </si>
  <si>
    <t>Rodnia Earley-Johnson</t>
  </si>
  <si>
    <t>Watchlight Court, Columbia, MD 21045</t>
  </si>
  <si>
    <t>Roger Carter Early Learning Center</t>
  </si>
  <si>
    <t>Milltowne Drive, Ellicott City, MD 21043</t>
  </si>
  <si>
    <t>Rohini Chibber</t>
  </si>
  <si>
    <t>Knox Ct., Laurel, MD 20723</t>
  </si>
  <si>
    <t>Rossana Davila</t>
  </si>
  <si>
    <t>Barchink Place, Columbia, MD 21045</t>
  </si>
  <si>
    <t>Rouza Imanian</t>
  </si>
  <si>
    <t>West Penfield Road, Columbia, MD 21045</t>
  </si>
  <si>
    <t>Rubina Azmat</t>
  </si>
  <si>
    <t>Water Wheel Ct, Ellicott City, MD 21043</t>
  </si>
  <si>
    <t>Rubina Karim</t>
  </si>
  <si>
    <t>Governor Run, Ellicott City, MD 21043</t>
  </si>
  <si>
    <t>Ruby Daniels</t>
  </si>
  <si>
    <t>Harpoon Hill, Columbia, MD 21044</t>
  </si>
  <si>
    <t>Running Brook SAS</t>
  </si>
  <si>
    <t>West Running Brook, Columbia, MD 21044</t>
  </si>
  <si>
    <t>Sabita Debnath</t>
  </si>
  <si>
    <t>Governor Howard Dr, Ellicott City, MD 21043</t>
  </si>
  <si>
    <t>Sadia Ahmed</t>
  </si>
  <si>
    <t>Nightshade Court, Columbia, MD 21045</t>
  </si>
  <si>
    <t>Sadia Chaudhry</t>
  </si>
  <si>
    <t>Loudon Avenue, Elkridge, MD 21075</t>
  </si>
  <si>
    <t>Sadia Yousaf</t>
  </si>
  <si>
    <t>Birdhouse Cir, Columbia, MD 21046</t>
  </si>
  <si>
    <t>Saima Amin</t>
  </si>
  <si>
    <t>Trotting Ridge Way, Columbia, MD 21044</t>
  </si>
  <si>
    <t>Saima Pervaiz</t>
  </si>
  <si>
    <t>Starburn Path, Columbia, MD 21045</t>
  </si>
  <si>
    <t>Saira Bano</t>
  </si>
  <si>
    <t>Carlinda Ave, Columbia, MD 21046</t>
  </si>
  <si>
    <t>Salma Siddik</t>
  </si>
  <si>
    <t>Tuscany Road, Ellicott City, MD 21042</t>
  </si>
  <si>
    <t>Samina Khatoon</t>
  </si>
  <si>
    <t>Howard Street, Savage, MD 20763</t>
  </si>
  <si>
    <t>Sanabil Learning Center</t>
  </si>
  <si>
    <t>Business Parkway , Elkridge, MD 21075</t>
  </si>
  <si>
    <t>Sandra Gutierrez</t>
  </si>
  <si>
    <t>Sandra Moreno</t>
  </si>
  <si>
    <t>Sang Kim</t>
  </si>
  <si>
    <t>Morningside Lane, Ellicott City, MD 21043</t>
  </si>
  <si>
    <t>Sara Fox</t>
  </si>
  <si>
    <t>Sara Lessler</t>
  </si>
  <si>
    <t>High Castle Rd, Ellicott City, MD 21043</t>
  </si>
  <si>
    <t>Sara Loyola</t>
  </si>
  <si>
    <t>Quiet Hours, Columbia, MD 21045</t>
  </si>
  <si>
    <t>Shabana Jamshid</t>
  </si>
  <si>
    <t>Winterbrook Lane, Jessup, MD 20794</t>
  </si>
  <si>
    <t>Shahnaz Ahmaddoust</t>
  </si>
  <si>
    <t>Midsummer Flame Terrace, Laurel, MD 20723</t>
  </si>
  <si>
    <t>Shakeela Shaik</t>
  </si>
  <si>
    <t>Shamim Bhavnagari</t>
  </si>
  <si>
    <t>Decatur Place, Laurel, MD 20723</t>
  </si>
  <si>
    <t>Shamim Kausar</t>
  </si>
  <si>
    <t>Johns Hopkins Rd, Laurel, MD 20723</t>
  </si>
  <si>
    <t>Shamoon Asgarali</t>
  </si>
  <si>
    <t>Shamsa Khan</t>
  </si>
  <si>
    <t>Winterbrook Ln, Jessup, MD 20794</t>
  </si>
  <si>
    <t>Sharon Green</t>
  </si>
  <si>
    <t>Commodore Court, Columbia, MD 21045</t>
  </si>
  <si>
    <t>Sharon Trudel</t>
  </si>
  <si>
    <t>Light Point Place, Columbia, MD 21045</t>
  </si>
  <si>
    <t>Shazia Bano</t>
  </si>
  <si>
    <t>Shazia Nawaz</t>
  </si>
  <si>
    <t>Brightlink Ct., Ellicott City, MD 21043</t>
  </si>
  <si>
    <t>Sheri Becraft</t>
  </si>
  <si>
    <t>Concord Drive, Jessup, MD 20794</t>
  </si>
  <si>
    <t>Shirley Anthony</t>
  </si>
  <si>
    <t>Owen Brown Road, Columbia, MD 21044</t>
  </si>
  <si>
    <t>Silvia de Flores</t>
  </si>
  <si>
    <t>Eastwind Way, Columbia, MD 21044</t>
  </si>
  <si>
    <t>Soheila Bijen</t>
  </si>
  <si>
    <t>Bridle Rein Terrace, Columbia , MD 21044</t>
  </si>
  <si>
    <t>Sona Avetisyan Yoder</t>
  </si>
  <si>
    <t>Lincoln Drive, Jessup, MD 20794</t>
  </si>
  <si>
    <t>Sophie Phillips</t>
  </si>
  <si>
    <t>Nottingham Way, Ellicott City, MD 21043</t>
  </si>
  <si>
    <t>Soundaram Chitambaram</t>
  </si>
  <si>
    <t>English Morning Lane, Ellicott City, MD 21043</t>
  </si>
  <si>
    <t>Srilatha Joginipally</t>
  </si>
  <si>
    <t>Vineyard Springs Way, Ellicott City, MD 21043</t>
  </si>
  <si>
    <t>St. Augustine</t>
  </si>
  <si>
    <t>Old Washington Rd, Elkridge, MD 21075</t>
  </si>
  <si>
    <t>St. John's Parish Day School</t>
  </si>
  <si>
    <t>St. Johns Lane Extended Recreation Program</t>
  </si>
  <si>
    <t>St. Johns Lane, Ellicott City, MD 21042</t>
  </si>
  <si>
    <t>St. Louis Before Care &amp; After Care</t>
  </si>
  <si>
    <t>St. Louis Early Learning Center</t>
  </si>
  <si>
    <t>State Route 108, Clarksville, MD 21029</t>
  </si>
  <si>
    <t>St. Michael Preschool</t>
  </si>
  <si>
    <t>Saint Michaels Rd, Mount Airy, MD 21771</t>
  </si>
  <si>
    <t>St. Peter's Episcopal School</t>
  </si>
  <si>
    <t>Rogers Ave., Ellicott City, MD 21043</t>
  </si>
  <si>
    <t>STARS Learning Center</t>
  </si>
  <si>
    <t>Whiskey Bottom Road, Laurel, MD 20723</t>
  </si>
  <si>
    <t>Stephanie Moore</t>
  </si>
  <si>
    <t>Patuxent Oak Ct., Elkridge, MD 21075</t>
  </si>
  <si>
    <t>Stevens Forest SAS</t>
  </si>
  <si>
    <t>Stevens Forest RD, Columbia, MD 21045</t>
  </si>
  <si>
    <t>Subulola Lamidi</t>
  </si>
  <si>
    <t>Mayflower Court, Laurel, MD 20723</t>
  </si>
  <si>
    <t>Sughran Aslam</t>
  </si>
  <si>
    <t>Monarch Mills Way, Columbia, MD 21046</t>
  </si>
  <si>
    <t>Surinder Kaur</t>
  </si>
  <si>
    <t>Chatelaine Circle, Ellicott City, MD 21042</t>
  </si>
  <si>
    <t>Swansfield Elementary SAS</t>
  </si>
  <si>
    <t>Sweetie White</t>
  </si>
  <si>
    <t>Hayshed Ln, Columbia, MD 21045</t>
  </si>
  <si>
    <t>Syeda Amir</t>
  </si>
  <si>
    <t>Kaitlins Court, Ellicott City, MD 21043</t>
  </si>
  <si>
    <t>Tabassum Naeem</t>
  </si>
  <si>
    <t>Beechfield Avenue, Elkridge, MD 21075</t>
  </si>
  <si>
    <t>Tabassum Sheikh</t>
  </si>
  <si>
    <t>Donnan Castle Ct, Laurel, MD 20723</t>
  </si>
  <si>
    <t>Tahira Jabeen</t>
  </si>
  <si>
    <t>Park Avenue, Laurel, MD 20723</t>
  </si>
  <si>
    <t>Tahmina Sheikh</t>
  </si>
  <si>
    <t>Lancelot Cross, Ellicott City, MD 21042</t>
  </si>
  <si>
    <t>Talbott Springs Elementary SAS</t>
  </si>
  <si>
    <t>Tasleem Tariq</t>
  </si>
  <si>
    <t>Forsythe Road, Sykesville, MD 21784</t>
  </si>
  <si>
    <t>Temple Isaiah Preschool</t>
  </si>
  <si>
    <t>Scaggsville Road, Fulton, MD 20759</t>
  </si>
  <si>
    <t>Teresa McDaniels</t>
  </si>
  <si>
    <t>The Goddard School</t>
  </si>
  <si>
    <t>Brighton Run Court, Marriottsville, MD 21104</t>
  </si>
  <si>
    <t>Old Columbia Road Suite A, Columbia, MD 21046</t>
  </si>
  <si>
    <t>The Journey School</t>
  </si>
  <si>
    <t>Robert Oliver Pl, Columbia, MD 21045</t>
  </si>
  <si>
    <t>The Kids Connection, Inc.</t>
  </si>
  <si>
    <t>The New Edge Learning Center</t>
  </si>
  <si>
    <t>Twelve Sons Court, Jessup, MD 20794</t>
  </si>
  <si>
    <t>The Okinawan Karate Dojo</t>
  </si>
  <si>
    <t>The Young School Early Education Program</t>
  </si>
  <si>
    <t>Guilford Rd., Columbia, MD 21046</t>
  </si>
  <si>
    <t>Thelma Hayes</t>
  </si>
  <si>
    <t>Davidge Drive, Columbia, MD 21044</t>
  </si>
  <si>
    <t>Thet Brunner</t>
  </si>
  <si>
    <t>Thunder Hill Elementary SAS</t>
  </si>
  <si>
    <t>Mellenbrook Road, Columbia, MD 21045</t>
  </si>
  <si>
    <t>Tiara Kelly</t>
  </si>
  <si>
    <t>Coventry Court Drive, Ellicott City, MD 21042</t>
  </si>
  <si>
    <t>Tiffany Portillo</t>
  </si>
  <si>
    <t>Scaggsville Road, Scaggsville, MD 20723</t>
  </si>
  <si>
    <t>Tina Dean</t>
  </si>
  <si>
    <t>Cardinal Forest Cir, Laurel, MD 20723</t>
  </si>
  <si>
    <t>Tracey Brown</t>
  </si>
  <si>
    <t>Sandalfoot Way, Columbia, MD 21046</t>
  </si>
  <si>
    <t>Tree of Life Early Learning Center</t>
  </si>
  <si>
    <t>Scaggsville Rd, Laurel, MD 20723</t>
  </si>
  <si>
    <t>Triadelphia Ridge Extended Recreation Program</t>
  </si>
  <si>
    <t>Triadelphia Road, Ellicott City, MD 21042</t>
  </si>
  <si>
    <t>Trinity Preschool and Extended Day</t>
  </si>
  <si>
    <t>Tyra Thomas</t>
  </si>
  <si>
    <t>Ridgeview Dr., Columbia, MD 21046</t>
  </si>
  <si>
    <t>United Way Family Center at Columbia</t>
  </si>
  <si>
    <t>Columbia Gateway Dr., Columbia, MD 21046</t>
  </si>
  <si>
    <t>Urvibahen Pandya</t>
  </si>
  <si>
    <t>Thunderbird Drive, Woodbine, MD 21797</t>
  </si>
  <si>
    <t>Uyen Feliks</t>
  </si>
  <si>
    <t>Wingflash Lane , Columbia, MD 21045</t>
  </si>
  <si>
    <t>Vaishali Baxi</t>
  </si>
  <si>
    <t>Shaded Day, Laurel, MD 20723</t>
  </si>
  <si>
    <t>Veterans Elementary School Recreational Licensed Child Care</t>
  </si>
  <si>
    <t>Montgomery Road , Ellicott City, MD 21043</t>
  </si>
  <si>
    <t>Virginia Maeser</t>
  </si>
  <si>
    <t>Marioak Drive, Elkridge, MD 21075</t>
  </si>
  <si>
    <t>Watchful Eye Daycare 2</t>
  </si>
  <si>
    <t>Watchful Eye Daycare of Columbia</t>
  </si>
  <si>
    <t>Waterloo Elementary SAS</t>
  </si>
  <si>
    <t>Waverly Extended Recreation Program</t>
  </si>
  <si>
    <t>Wetherburn Road, Ellicott City, MD 21043</t>
  </si>
  <si>
    <t>West Friendship Extended Recreation Program</t>
  </si>
  <si>
    <t>Frederick Road, West Friendship, MD 21794</t>
  </si>
  <si>
    <t>Wilde Lake Childrens Nursery</t>
  </si>
  <si>
    <t>Marble Faun Court, Columbia, MD 21044</t>
  </si>
  <si>
    <t>Wisdom Childcare Center</t>
  </si>
  <si>
    <t>Old Montgomery Rd, Columbia, MD 21045</t>
  </si>
  <si>
    <t>World Champion Martial Arts Center</t>
  </si>
  <si>
    <t>9105- I-J All Saints Road, Laurel, MD 20723</t>
  </si>
  <si>
    <t>Worthington Elementary SAS</t>
  </si>
  <si>
    <t>Yasmin Rajan</t>
  </si>
  <si>
    <t>Glen Oaks Lane, Columbia, MD 21046</t>
  </si>
  <si>
    <t>Yasna Siroosy</t>
  </si>
  <si>
    <t>Macomber Lane, Columbia, MD 21045</t>
  </si>
  <si>
    <t>Yenealem Assefa</t>
  </si>
  <si>
    <t>Yorsalem Banks</t>
  </si>
  <si>
    <t>Graeloch Rd., Laurel, MD 20723</t>
  </si>
  <si>
    <t>Young Horizons School</t>
  </si>
  <si>
    <t>Roosevelt Blvd, Elkridge, MD 21075</t>
  </si>
  <si>
    <t>Your Journey Nursery &amp; Preschool</t>
  </si>
  <si>
    <t>Ten Oaks Rd, Glenelg, MD 21737</t>
  </si>
  <si>
    <t>Your Journey Nursery and Preschool</t>
  </si>
  <si>
    <t>Route 97, Glenwood, MD 21738</t>
  </si>
  <si>
    <t>Yurim Sin</t>
  </si>
  <si>
    <t>Greenway Dr, Ellicott City, MD 21042</t>
  </si>
  <si>
    <t>Zahide Kaya</t>
  </si>
  <si>
    <t>Stonehouse Dr, Ellicott City, MD 21043</t>
  </si>
  <si>
    <t>Zainab Wasti</t>
  </si>
  <si>
    <t>Zainb Nisa</t>
  </si>
  <si>
    <t>Grainger Court, Elkridge, MD 21075</t>
  </si>
  <si>
    <t>Zainub Pervaiz</t>
  </si>
  <si>
    <t>Saddlebrook Court, Laurel, MD 20723</t>
  </si>
  <si>
    <t>Zeeba Zaman</t>
  </si>
  <si>
    <t>Purple Iris Lane, Elkridge, MD 21075</t>
  </si>
  <si>
    <t>Zernigar Khan</t>
  </si>
  <si>
    <t>Children TCA</t>
  </si>
  <si>
    <t>Children TCC</t>
  </si>
  <si>
    <t>Children NON-TCA</t>
  </si>
  <si>
    <t xml:space="preserve"> Children TOTAL</t>
  </si>
  <si>
    <t>Family TCA</t>
  </si>
  <si>
    <t>Family TCC</t>
  </si>
  <si>
    <t>Family NON-TCA</t>
  </si>
  <si>
    <t>Family TOTAL</t>
  </si>
  <si>
    <t>Liability TCA</t>
  </si>
  <si>
    <t>Liability TCC</t>
  </si>
  <si>
    <t>Liability NON-TCA</t>
  </si>
  <si>
    <t>Liability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</si>
</sst>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FFFFFF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10" fillId="0" borderId="0"/>
  </cellStyleXfs>
  <cellXfs count="60">
    <xf numFmtId="0" fontId="0" fillId="0" borderId="0" xfId="0"/>
    <xf numFmtId="0" fontId="6" fillId="2" borderId="7" xfId="3" applyFont="1" applyFill="1" applyBorder="1" applyAlignment="1">
      <alignment horizontal="left" vertical="top" wrapText="1"/>
    </xf>
    <xf numFmtId="164" fontId="6" fillId="0" borderId="7" xfId="1" applyNumberFormat="1" applyFont="1" applyBorder="1" applyAlignment="1">
      <alignment horizontal="right" vertical="top"/>
    </xf>
    <xf numFmtId="0" fontId="6" fillId="3" borderId="7" xfId="0" applyFont="1" applyFill="1" applyBorder="1" applyAlignment="1">
      <alignment horizontal="left" vertical="top" wrapText="1"/>
    </xf>
    <xf numFmtId="164" fontId="6" fillId="0" borderId="6" xfId="0" applyNumberFormat="1" applyFont="1" applyBorder="1" applyAlignment="1">
      <alignment horizontal="right" vertical="top"/>
    </xf>
    <xf numFmtId="0" fontId="0" fillId="0" borderId="7" xfId="0" applyBorder="1"/>
    <xf numFmtId="164" fontId="0" fillId="0" borderId="7" xfId="0" applyNumberFormat="1" applyBorder="1"/>
    <xf numFmtId="17" fontId="0" fillId="0" borderId="0" xfId="0" applyNumberFormat="1" applyAlignment="1">
      <alignment horizontal="center" vertical="center"/>
    </xf>
    <xf numFmtId="0" fontId="7" fillId="0" borderId="0" xfId="0" applyFont="1"/>
    <xf numFmtId="17" fontId="7" fillId="0" borderId="0" xfId="0" applyNumberFormat="1" applyFont="1"/>
    <xf numFmtId="164" fontId="9" fillId="5" borderId="7" xfId="1" applyNumberFormat="1" applyFont="1" applyFill="1" applyBorder="1" applyAlignment="1">
      <alignment horizontal="center" vertical="center"/>
    </xf>
    <xf numFmtId="164" fontId="8" fillId="5" borderId="7" xfId="1" applyNumberFormat="1" applyFont="1" applyFill="1" applyBorder="1" applyAlignment="1">
      <alignment horizontal="center" vertical="center"/>
    </xf>
    <xf numFmtId="165" fontId="9" fillId="5" borderId="7" xfId="2" applyNumberFormat="1" applyFont="1" applyFill="1" applyBorder="1" applyAlignment="1">
      <alignment horizontal="center" vertical="center"/>
    </xf>
    <xf numFmtId="49" fontId="9" fillId="4" borderId="7" xfId="0" applyNumberFormat="1" applyFont="1" applyFill="1" applyBorder="1" applyAlignment="1">
      <alignment horizontal="left" vertical="center"/>
    </xf>
    <xf numFmtId="49" fontId="9" fillId="4" borderId="3" xfId="0" applyNumberFormat="1" applyFont="1" applyFill="1" applyBorder="1" applyAlignment="1">
      <alignment horizontal="left" vertical="center"/>
    </xf>
    <xf numFmtId="164" fontId="9" fillId="5" borderId="3" xfId="1" applyNumberFormat="1" applyFont="1" applyFill="1" applyBorder="1" applyAlignment="1">
      <alignment horizontal="center" vertical="center"/>
    </xf>
    <xf numFmtId="164" fontId="8" fillId="5" borderId="3" xfId="1" applyNumberFormat="1" applyFont="1" applyFill="1" applyBorder="1" applyAlignment="1">
      <alignment horizontal="center" vertical="center"/>
    </xf>
    <xf numFmtId="165" fontId="9" fillId="5" borderId="3" xfId="2" applyNumberFormat="1" applyFont="1" applyFill="1" applyBorder="1" applyAlignment="1">
      <alignment horizontal="center" vertical="center"/>
    </xf>
    <xf numFmtId="49" fontId="9" fillId="4" borderId="2" xfId="0" applyNumberFormat="1" applyFont="1" applyFill="1" applyBorder="1" applyAlignment="1">
      <alignment horizontal="left" vertical="center"/>
    </xf>
    <xf numFmtId="164" fontId="9" fillId="5" borderId="2" xfId="1" applyNumberFormat="1" applyFont="1" applyFill="1" applyBorder="1" applyAlignment="1">
      <alignment horizontal="center" vertical="center"/>
    </xf>
    <xf numFmtId="164" fontId="8" fillId="5" borderId="2" xfId="1" applyNumberFormat="1" applyFont="1" applyFill="1" applyBorder="1" applyAlignment="1">
      <alignment horizontal="center" vertical="center"/>
    </xf>
    <xf numFmtId="165" fontId="9" fillId="5" borderId="2" xfId="2" applyNumberFormat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/>
    </xf>
    <xf numFmtId="0" fontId="2" fillId="0" borderId="0" xfId="3" applyFont="1"/>
    <xf numFmtId="17" fontId="7" fillId="0" borderId="0" xfId="0" applyNumberFormat="1" applyFont="1" applyAlignment="1">
      <alignment horizontal="center" vertical="center"/>
    </xf>
    <xf numFmtId="164" fontId="5" fillId="0" borderId="0" xfId="0" applyNumberFormat="1" applyFont="1"/>
    <xf numFmtId="0" fontId="6" fillId="2" borderId="3" xfId="3" applyFont="1" applyFill="1" applyBorder="1" applyAlignment="1">
      <alignment horizontal="left" vertical="top" wrapText="1"/>
    </xf>
    <xf numFmtId="164" fontId="6" fillId="0" borderId="3" xfId="1" applyNumberFormat="1" applyFont="1" applyBorder="1" applyAlignment="1">
      <alignment horizontal="right" vertical="top"/>
    </xf>
    <xf numFmtId="0" fontId="6" fillId="2" borderId="2" xfId="3" applyFont="1" applyFill="1" applyBorder="1" applyAlignment="1">
      <alignment horizontal="left" vertical="top" wrapText="1"/>
    </xf>
    <xf numFmtId="164" fontId="6" fillId="0" borderId="2" xfId="1" applyNumberFormat="1" applyFont="1" applyBorder="1" applyAlignment="1">
      <alignment horizontal="right" vertical="top"/>
    </xf>
    <xf numFmtId="17" fontId="5" fillId="0" borderId="8" xfId="0" applyNumberFormat="1" applyFont="1" applyBorder="1" applyAlignment="1">
      <alignment horizontal="center"/>
    </xf>
    <xf numFmtId="0" fontId="3" fillId="2" borderId="9" xfId="3" applyFont="1" applyFill="1" applyBorder="1" applyAlignment="1">
      <alignment horizontal="left" vertical="top" wrapText="1"/>
    </xf>
    <xf numFmtId="0" fontId="3" fillId="0" borderId="9" xfId="1" applyNumberFormat="1" applyFont="1" applyFill="1" applyBorder="1" applyAlignment="1">
      <alignment horizontal="right" vertical="top"/>
    </xf>
    <xf numFmtId="164" fontId="5" fillId="0" borderId="9" xfId="0" applyNumberFormat="1" applyFont="1" applyBorder="1"/>
    <xf numFmtId="164" fontId="5" fillId="0" borderId="10" xfId="0" applyNumberFormat="1" applyFont="1" applyBorder="1"/>
    <xf numFmtId="17" fontId="5" fillId="0" borderId="8" xfId="0" applyNumberFormat="1" applyFont="1" applyBorder="1" applyAlignment="1">
      <alignment horizontal="center" vertical="center"/>
    </xf>
    <xf numFmtId="0" fontId="5" fillId="0" borderId="9" xfId="0" applyFont="1" applyBorder="1"/>
    <xf numFmtId="0" fontId="6" fillId="2" borderId="8" xfId="3" applyFont="1" applyFill="1" applyBorder="1" applyAlignment="1">
      <alignment horizontal="left" vertical="top" wrapText="1"/>
    </xf>
    <xf numFmtId="0" fontId="3" fillId="2" borderId="8" xfId="3" applyFont="1" applyFill="1" applyBorder="1" applyAlignment="1">
      <alignment horizontal="left" vertical="top" wrapText="1"/>
    </xf>
    <xf numFmtId="0" fontId="7" fillId="0" borderId="7" xfId="0" applyFont="1" applyBorder="1"/>
    <xf numFmtId="165" fontId="7" fillId="0" borderId="7" xfId="2" applyNumberFormat="1" applyFont="1" applyBorder="1"/>
    <xf numFmtId="0" fontId="5" fillId="6" borderId="7" xfId="0" applyFont="1" applyFill="1" applyBorder="1"/>
    <xf numFmtId="49" fontId="3" fillId="7" borderId="7" xfId="4" applyNumberFormat="1" applyFont="1" applyFill="1" applyBorder="1"/>
    <xf numFmtId="49" fontId="8" fillId="7" borderId="7" xfId="4" applyNumberFormat="1" applyFont="1" applyFill="1" applyBorder="1" applyAlignment="1">
      <alignment horizontal="center" vertical="center"/>
    </xf>
    <xf numFmtId="49" fontId="9" fillId="0" borderId="7" xfId="4" applyNumberFormat="1" applyFont="1" applyBorder="1" applyAlignment="1">
      <alignment horizontal="left" vertical="center"/>
    </xf>
    <xf numFmtId="0" fontId="5" fillId="8" borderId="7" xfId="0" applyFont="1" applyFill="1" applyBorder="1" applyAlignment="1">
      <alignment horizontal="center"/>
    </xf>
    <xf numFmtId="165" fontId="7" fillId="0" borderId="7" xfId="0" applyNumberFormat="1" applyFont="1" applyBorder="1"/>
    <xf numFmtId="164" fontId="12" fillId="5" borderId="7" xfId="1" applyNumberFormat="1" applyFont="1" applyFill="1" applyBorder="1" applyAlignment="1">
      <alignment horizontal="center" vertical="center"/>
    </xf>
    <xf numFmtId="164" fontId="11" fillId="5" borderId="7" xfId="1" applyNumberFormat="1" applyFont="1" applyFill="1" applyBorder="1" applyAlignment="1">
      <alignment horizontal="center" vertical="center"/>
    </xf>
    <xf numFmtId="164" fontId="7" fillId="0" borderId="7" xfId="0" applyNumberFormat="1" applyFont="1" applyBorder="1"/>
    <xf numFmtId="49" fontId="8" fillId="9" borderId="7" xfId="0" applyNumberFormat="1" applyFont="1" applyFill="1" applyBorder="1" applyAlignment="1">
      <alignment horizontal="center" vertical="center"/>
    </xf>
    <xf numFmtId="49" fontId="5" fillId="9" borderId="7" xfId="0" applyNumberFormat="1" applyFont="1" applyFill="1" applyBorder="1" applyAlignment="1">
      <alignment horizontal="center"/>
    </xf>
    <xf numFmtId="0" fontId="3" fillId="8" borderId="7" xfId="3" applyFont="1" applyFill="1" applyBorder="1" applyAlignment="1">
      <alignment horizontal="center" vertical="center" wrapText="1"/>
    </xf>
    <xf numFmtId="0" fontId="5" fillId="8" borderId="7" xfId="0" applyFont="1" applyFill="1" applyBorder="1"/>
    <xf numFmtId="0" fontId="5" fillId="8" borderId="1" xfId="0" applyFont="1" applyFill="1" applyBorder="1" applyAlignment="1">
      <alignment horizontal="center" vertical="center"/>
    </xf>
    <xf numFmtId="0" fontId="3" fillId="8" borderId="3" xfId="3" applyFont="1" applyFill="1" applyBorder="1" applyAlignment="1">
      <alignment horizontal="center" vertical="center" wrapText="1"/>
    </xf>
    <xf numFmtId="0" fontId="3" fillId="8" borderId="2" xfId="3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Normal 2" xfId="4" xr:uid="{FD170005-4C10-6247-8AAB-B9351575CFE6}"/>
    <cellStyle name="Normal_Sheet1" xfId="3" xr:uid="{653EFC1F-1881-D34A-BA1A-CC70799AFF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304A-F117-1E41-AE48-25FBCCF129B1}">
  <dimension ref="A1:N51"/>
  <sheetViews>
    <sheetView workbookViewId="0">
      <selection sqref="A1:A41"/>
    </sheetView>
  </sheetViews>
  <sheetFormatPr baseColWidth="10" defaultRowHeight="16" x14ac:dyDescent="0.2"/>
  <cols>
    <col min="2" max="2" width="10.1640625" bestFit="1" customWidth="1"/>
    <col min="3" max="3" width="10.6640625" bestFit="1" customWidth="1"/>
    <col min="4" max="4" width="12.5" customWidth="1"/>
    <col min="5" max="6" width="10.6640625" bestFit="1" customWidth="1"/>
    <col min="7" max="7" width="9.33203125" bestFit="1" customWidth="1"/>
  </cols>
  <sheetData>
    <row r="1" spans="1:14" x14ac:dyDescent="0.2">
      <c r="A1" s="54" t="s">
        <v>13</v>
      </c>
      <c r="B1" s="55" t="s">
        <v>0</v>
      </c>
      <c r="C1" s="57" t="s">
        <v>1</v>
      </c>
      <c r="D1" s="58"/>
      <c r="E1" s="58"/>
      <c r="F1" s="59"/>
      <c r="G1" s="55" t="s">
        <v>2</v>
      </c>
      <c r="H1" s="8"/>
      <c r="I1" s="55" t="s">
        <v>0</v>
      </c>
      <c r="J1" s="57" t="s">
        <v>1</v>
      </c>
      <c r="K1" s="58"/>
      <c r="L1" s="58"/>
      <c r="M1" s="59"/>
      <c r="N1" s="55" t="s">
        <v>2</v>
      </c>
    </row>
    <row r="2" spans="1:14" ht="68" x14ac:dyDescent="0.2">
      <c r="A2" s="54"/>
      <c r="B2" s="56"/>
      <c r="C2" s="52" t="s">
        <v>3</v>
      </c>
      <c r="D2" s="52" t="s">
        <v>4</v>
      </c>
      <c r="E2" s="52" t="s">
        <v>5</v>
      </c>
      <c r="F2" s="52" t="s">
        <v>6</v>
      </c>
      <c r="G2" s="56"/>
      <c r="H2" s="8"/>
      <c r="I2" s="56"/>
      <c r="J2" s="52" t="s">
        <v>3</v>
      </c>
      <c r="K2" s="52" t="s">
        <v>4</v>
      </c>
      <c r="L2" s="52" t="s">
        <v>5</v>
      </c>
      <c r="M2" s="52" t="s">
        <v>6</v>
      </c>
      <c r="N2" s="56"/>
    </row>
    <row r="3" spans="1:14" ht="17" x14ac:dyDescent="0.2">
      <c r="A3" s="22">
        <v>44562</v>
      </c>
      <c r="B3" s="1" t="s">
        <v>7</v>
      </c>
      <c r="C3" s="2">
        <v>0</v>
      </c>
      <c r="D3" s="2">
        <v>12</v>
      </c>
      <c r="E3" s="2">
        <v>165</v>
      </c>
      <c r="F3" s="2">
        <v>261</v>
      </c>
      <c r="G3" s="2">
        <v>438</v>
      </c>
      <c r="H3" s="8"/>
      <c r="I3" s="1" t="s">
        <v>7</v>
      </c>
      <c r="J3" s="2">
        <v>0</v>
      </c>
      <c r="K3" s="2">
        <v>684</v>
      </c>
      <c r="L3" s="2">
        <v>13207</v>
      </c>
      <c r="M3" s="2">
        <v>1992</v>
      </c>
      <c r="N3" s="2">
        <v>15883</v>
      </c>
    </row>
    <row r="4" spans="1:14" ht="17" x14ac:dyDescent="0.2">
      <c r="A4" s="22">
        <v>44593</v>
      </c>
      <c r="B4" s="1" t="s">
        <v>7</v>
      </c>
      <c r="C4" s="2">
        <v>0</v>
      </c>
      <c r="D4" s="2">
        <v>12</v>
      </c>
      <c r="E4" s="2">
        <v>165</v>
      </c>
      <c r="F4" s="2">
        <v>263</v>
      </c>
      <c r="G4" s="2">
        <v>440</v>
      </c>
      <c r="H4" s="8"/>
      <c r="I4" s="3" t="s">
        <v>7</v>
      </c>
      <c r="J4" s="4" t="s">
        <v>8</v>
      </c>
      <c r="K4" s="4">
        <v>679</v>
      </c>
      <c r="L4" s="4">
        <v>13213</v>
      </c>
      <c r="M4" s="4">
        <v>2009</v>
      </c>
      <c r="N4" s="4">
        <v>15901</v>
      </c>
    </row>
    <row r="5" spans="1:14" ht="17" x14ac:dyDescent="0.2">
      <c r="A5" s="22">
        <v>44621</v>
      </c>
      <c r="B5" s="1" t="s">
        <v>7</v>
      </c>
      <c r="C5" s="2">
        <v>0</v>
      </c>
      <c r="D5" s="2">
        <v>12</v>
      </c>
      <c r="E5" s="2">
        <v>166</v>
      </c>
      <c r="F5" s="2">
        <v>263</v>
      </c>
      <c r="G5" s="2">
        <v>441</v>
      </c>
      <c r="H5" s="8"/>
      <c r="I5" s="3" t="s">
        <v>7</v>
      </c>
      <c r="J5" s="4" t="s">
        <v>8</v>
      </c>
      <c r="K5" s="4">
        <v>679</v>
      </c>
      <c r="L5" s="4">
        <v>13217</v>
      </c>
      <c r="M5" s="4">
        <v>2010</v>
      </c>
      <c r="N5" s="4">
        <v>15906</v>
      </c>
    </row>
    <row r="6" spans="1:14" ht="17" x14ac:dyDescent="0.2">
      <c r="A6" s="22">
        <v>44652</v>
      </c>
      <c r="B6" s="1" t="s">
        <v>7</v>
      </c>
      <c r="C6" s="2">
        <v>0</v>
      </c>
      <c r="D6" s="2">
        <v>12</v>
      </c>
      <c r="E6" s="2">
        <v>165</v>
      </c>
      <c r="F6" s="2">
        <v>261</v>
      </c>
      <c r="G6" s="2">
        <v>438</v>
      </c>
      <c r="H6" s="8"/>
      <c r="I6" s="1" t="s">
        <v>7</v>
      </c>
      <c r="J6" s="2">
        <v>0</v>
      </c>
      <c r="K6" s="2">
        <v>679</v>
      </c>
      <c r="L6" s="2">
        <v>13182</v>
      </c>
      <c r="M6" s="2">
        <v>1997</v>
      </c>
      <c r="N6" s="2">
        <v>15858</v>
      </c>
    </row>
    <row r="7" spans="1:14" ht="17" x14ac:dyDescent="0.2">
      <c r="A7" s="22">
        <v>44682</v>
      </c>
      <c r="B7" s="1" t="s">
        <v>7</v>
      </c>
      <c r="C7" s="2">
        <v>0</v>
      </c>
      <c r="D7" s="2">
        <v>12</v>
      </c>
      <c r="E7" s="2">
        <v>164</v>
      </c>
      <c r="F7" s="2">
        <v>261</v>
      </c>
      <c r="G7" s="2">
        <v>437</v>
      </c>
      <c r="H7" s="8"/>
      <c r="I7" s="3" t="s">
        <v>7</v>
      </c>
      <c r="J7" s="4" t="s">
        <v>8</v>
      </c>
      <c r="K7" s="4">
        <v>679</v>
      </c>
      <c r="L7" s="4">
        <v>13028</v>
      </c>
      <c r="M7" s="4">
        <v>1997</v>
      </c>
      <c r="N7" s="4">
        <v>15704</v>
      </c>
    </row>
    <row r="8" spans="1:14" ht="17" x14ac:dyDescent="0.2">
      <c r="A8" s="22">
        <v>44713</v>
      </c>
      <c r="B8" s="1" t="s">
        <v>7</v>
      </c>
      <c r="C8" s="2">
        <v>0</v>
      </c>
      <c r="D8" s="2">
        <v>12</v>
      </c>
      <c r="E8" s="2">
        <v>164</v>
      </c>
      <c r="F8" s="2">
        <v>262</v>
      </c>
      <c r="G8" s="2">
        <v>438</v>
      </c>
      <c r="H8" s="23"/>
      <c r="I8" s="1" t="s">
        <v>7</v>
      </c>
      <c r="J8" s="2">
        <v>0</v>
      </c>
      <c r="K8" s="2">
        <v>679</v>
      </c>
      <c r="L8" s="2">
        <v>12887</v>
      </c>
      <c r="M8" s="2">
        <v>2000</v>
      </c>
      <c r="N8" s="2">
        <v>15566</v>
      </c>
    </row>
    <row r="9" spans="1:14" ht="17" x14ac:dyDescent="0.2">
      <c r="A9" s="22">
        <v>44743</v>
      </c>
      <c r="B9" s="1" t="s">
        <v>7</v>
      </c>
      <c r="C9" s="2">
        <v>0</v>
      </c>
      <c r="D9" s="2">
        <v>12</v>
      </c>
      <c r="E9" s="2">
        <v>164</v>
      </c>
      <c r="F9" s="2">
        <v>257</v>
      </c>
      <c r="G9" s="2">
        <v>433</v>
      </c>
      <c r="H9" s="23"/>
      <c r="I9" s="1" t="s">
        <v>7</v>
      </c>
      <c r="J9" s="2">
        <v>0</v>
      </c>
      <c r="K9" s="2">
        <v>680</v>
      </c>
      <c r="L9" s="2">
        <v>12592</v>
      </c>
      <c r="M9" s="2">
        <v>1973</v>
      </c>
      <c r="N9" s="2">
        <v>15245</v>
      </c>
    </row>
    <row r="10" spans="1:14" ht="17" x14ac:dyDescent="0.2">
      <c r="A10" s="22">
        <v>44774</v>
      </c>
      <c r="B10" s="1" t="s">
        <v>7</v>
      </c>
      <c r="C10" s="2">
        <v>0</v>
      </c>
      <c r="D10" s="2">
        <v>12</v>
      </c>
      <c r="E10" s="2">
        <v>165</v>
      </c>
      <c r="F10" s="2">
        <v>259</v>
      </c>
      <c r="G10" s="2">
        <v>436</v>
      </c>
      <c r="H10" s="23"/>
      <c r="I10" s="1" t="s">
        <v>7</v>
      </c>
      <c r="J10" s="2">
        <v>0</v>
      </c>
      <c r="K10" s="2">
        <v>680</v>
      </c>
      <c r="L10" s="2">
        <v>12520</v>
      </c>
      <c r="M10" s="2">
        <v>1988</v>
      </c>
      <c r="N10" s="2">
        <v>15188</v>
      </c>
    </row>
    <row r="11" spans="1:14" ht="17" x14ac:dyDescent="0.2">
      <c r="A11" s="22">
        <v>44805</v>
      </c>
      <c r="B11" s="1" t="s">
        <v>7</v>
      </c>
      <c r="C11" s="2">
        <v>0</v>
      </c>
      <c r="D11" s="2">
        <v>12</v>
      </c>
      <c r="E11" s="2">
        <v>166</v>
      </c>
      <c r="F11" s="2">
        <v>258</v>
      </c>
      <c r="G11" s="2">
        <v>436</v>
      </c>
      <c r="H11" s="23"/>
      <c r="I11" s="1" t="s">
        <v>7</v>
      </c>
      <c r="J11" s="2">
        <v>0</v>
      </c>
      <c r="K11" s="2">
        <v>680</v>
      </c>
      <c r="L11" s="2">
        <v>12527</v>
      </c>
      <c r="M11" s="2">
        <v>1982</v>
      </c>
      <c r="N11" s="2">
        <v>15189</v>
      </c>
    </row>
    <row r="12" spans="1:14" ht="17" x14ac:dyDescent="0.2">
      <c r="A12" s="22">
        <v>44835</v>
      </c>
      <c r="B12" s="1" t="s">
        <v>7</v>
      </c>
      <c r="C12" s="2">
        <v>0</v>
      </c>
      <c r="D12" s="2">
        <v>12</v>
      </c>
      <c r="E12" s="2">
        <v>168</v>
      </c>
      <c r="F12" s="2">
        <v>257</v>
      </c>
      <c r="G12" s="2">
        <v>437</v>
      </c>
      <c r="H12" s="23"/>
      <c r="I12" s="1" t="s">
        <v>7</v>
      </c>
      <c r="J12" s="2">
        <v>0</v>
      </c>
      <c r="K12" s="2">
        <v>680</v>
      </c>
      <c r="L12" s="2">
        <v>12738</v>
      </c>
      <c r="M12" s="2">
        <v>1975</v>
      </c>
      <c r="N12" s="2">
        <v>15393</v>
      </c>
    </row>
    <row r="13" spans="1:14" ht="17" x14ac:dyDescent="0.2">
      <c r="A13" s="22">
        <v>44866</v>
      </c>
      <c r="B13" s="1" t="s">
        <v>7</v>
      </c>
      <c r="C13" s="2">
        <v>0</v>
      </c>
      <c r="D13" s="2">
        <v>12</v>
      </c>
      <c r="E13" s="2">
        <v>169</v>
      </c>
      <c r="F13" s="2">
        <v>260</v>
      </c>
      <c r="G13" s="2">
        <v>441</v>
      </c>
      <c r="H13" s="23"/>
      <c r="I13" s="1" t="s">
        <v>7</v>
      </c>
      <c r="J13" s="2">
        <v>0</v>
      </c>
      <c r="K13" s="2">
        <v>680</v>
      </c>
      <c r="L13" s="2">
        <v>12744</v>
      </c>
      <c r="M13" s="2">
        <v>1995</v>
      </c>
      <c r="N13" s="2">
        <v>15419</v>
      </c>
    </row>
    <row r="14" spans="1:14" ht="18" thickBot="1" x14ac:dyDescent="0.25">
      <c r="A14" s="22">
        <v>44896</v>
      </c>
      <c r="B14" s="26" t="s">
        <v>7</v>
      </c>
      <c r="C14" s="27">
        <v>0</v>
      </c>
      <c r="D14" s="27">
        <v>12</v>
      </c>
      <c r="E14" s="27">
        <v>169</v>
      </c>
      <c r="F14" s="27">
        <v>260</v>
      </c>
      <c r="G14" s="27">
        <v>441</v>
      </c>
      <c r="H14" s="23"/>
      <c r="I14" s="26" t="s">
        <v>7</v>
      </c>
      <c r="J14" s="27">
        <v>0</v>
      </c>
      <c r="K14" s="27">
        <v>680</v>
      </c>
      <c r="L14" s="27">
        <v>12626</v>
      </c>
      <c r="M14" s="27">
        <v>1997</v>
      </c>
      <c r="N14" s="27">
        <v>15303</v>
      </c>
    </row>
    <row r="15" spans="1:14" ht="18" thickBot="1" x14ac:dyDescent="0.25">
      <c r="A15" s="30" t="s">
        <v>9</v>
      </c>
      <c r="B15" s="31" t="s">
        <v>7</v>
      </c>
      <c r="C15" s="32">
        <v>0</v>
      </c>
      <c r="D15" s="33">
        <f>AVERAGE(D3:D14)</f>
        <v>12</v>
      </c>
      <c r="E15" s="33">
        <f t="shared" ref="E15:G15" si="0">AVERAGE(E3:E14)</f>
        <v>165.83333333333334</v>
      </c>
      <c r="F15" s="33">
        <f t="shared" si="0"/>
        <v>260.16666666666669</v>
      </c>
      <c r="G15" s="34">
        <f t="shared" si="0"/>
        <v>438</v>
      </c>
      <c r="H15" s="8"/>
      <c r="I15" s="38" t="s">
        <v>7</v>
      </c>
      <c r="J15" s="32">
        <v>0</v>
      </c>
      <c r="K15" s="33">
        <f>AVERAGE(K3:K14)</f>
        <v>679.91666666666663</v>
      </c>
      <c r="L15" s="33">
        <f t="shared" ref="L15:N15" si="1">AVERAGE(L3:L14)</f>
        <v>12873.416666666666</v>
      </c>
      <c r="M15" s="33">
        <f t="shared" si="1"/>
        <v>1992.9166666666667</v>
      </c>
      <c r="N15" s="34">
        <f t="shared" si="1"/>
        <v>15546.25</v>
      </c>
    </row>
    <row r="16" spans="1:14" ht="17" x14ac:dyDescent="0.2">
      <c r="A16" s="24">
        <v>44927</v>
      </c>
      <c r="B16" s="28" t="s">
        <v>7</v>
      </c>
      <c r="C16" s="29">
        <v>0</v>
      </c>
      <c r="D16" s="29">
        <v>12</v>
      </c>
      <c r="E16" s="29">
        <v>169</v>
      </c>
      <c r="F16" s="29">
        <v>259</v>
      </c>
      <c r="G16" s="29">
        <v>440</v>
      </c>
      <c r="H16" s="23"/>
      <c r="I16" s="28" t="s">
        <v>7</v>
      </c>
      <c r="J16" s="29">
        <v>0</v>
      </c>
      <c r="K16" s="29">
        <v>680</v>
      </c>
      <c r="L16" s="29">
        <v>12422</v>
      </c>
      <c r="M16" s="29">
        <v>1992</v>
      </c>
      <c r="N16" s="29">
        <v>15094</v>
      </c>
    </row>
    <row r="17" spans="1:14" ht="17" x14ac:dyDescent="0.2">
      <c r="A17" s="24">
        <v>44958</v>
      </c>
      <c r="B17" s="1" t="s">
        <v>7</v>
      </c>
      <c r="C17" s="2">
        <v>0</v>
      </c>
      <c r="D17" s="2">
        <v>12</v>
      </c>
      <c r="E17" s="2">
        <v>169</v>
      </c>
      <c r="F17" s="2">
        <v>257</v>
      </c>
      <c r="G17" s="2">
        <v>438</v>
      </c>
      <c r="H17" s="23"/>
      <c r="I17" s="1" t="s">
        <v>7</v>
      </c>
      <c r="J17" s="2">
        <v>0</v>
      </c>
      <c r="K17" s="2">
        <v>680</v>
      </c>
      <c r="L17" s="2">
        <v>12422</v>
      </c>
      <c r="M17" s="2">
        <v>1976</v>
      </c>
      <c r="N17" s="2">
        <v>15078</v>
      </c>
    </row>
    <row r="18" spans="1:14" ht="17" x14ac:dyDescent="0.2">
      <c r="A18" s="24">
        <v>44986</v>
      </c>
      <c r="B18" s="1" t="s">
        <v>7</v>
      </c>
      <c r="C18" s="2">
        <v>0</v>
      </c>
      <c r="D18" s="2">
        <v>12</v>
      </c>
      <c r="E18" s="2">
        <v>169</v>
      </c>
      <c r="F18" s="2">
        <v>256</v>
      </c>
      <c r="G18" s="2">
        <v>437</v>
      </c>
      <c r="H18" s="23"/>
      <c r="I18" s="1" t="s">
        <v>7</v>
      </c>
      <c r="J18" s="2">
        <v>0</v>
      </c>
      <c r="K18" s="2">
        <v>680</v>
      </c>
      <c r="L18" s="2">
        <v>12411</v>
      </c>
      <c r="M18" s="2">
        <v>1966</v>
      </c>
      <c r="N18" s="2">
        <v>15057</v>
      </c>
    </row>
    <row r="19" spans="1:14" ht="17" x14ac:dyDescent="0.2">
      <c r="A19" s="24">
        <v>45017</v>
      </c>
      <c r="B19" s="1" t="s">
        <v>7</v>
      </c>
      <c r="C19" s="2">
        <v>0</v>
      </c>
      <c r="D19" s="2">
        <v>12</v>
      </c>
      <c r="E19" s="2">
        <v>169</v>
      </c>
      <c r="F19" s="2">
        <v>255</v>
      </c>
      <c r="G19" s="2">
        <v>436</v>
      </c>
      <c r="H19" s="23"/>
      <c r="I19" s="1" t="s">
        <v>7</v>
      </c>
      <c r="J19" s="2">
        <v>0</v>
      </c>
      <c r="K19" s="2">
        <v>680</v>
      </c>
      <c r="L19" s="2">
        <v>12330</v>
      </c>
      <c r="M19" s="2">
        <v>1959</v>
      </c>
      <c r="N19" s="2">
        <v>14969</v>
      </c>
    </row>
    <row r="20" spans="1:14" ht="17" x14ac:dyDescent="0.2">
      <c r="A20" s="24">
        <v>45047</v>
      </c>
      <c r="B20" s="1" t="s">
        <v>7</v>
      </c>
      <c r="C20" s="2">
        <v>0</v>
      </c>
      <c r="D20" s="2">
        <v>12</v>
      </c>
      <c r="E20" s="2">
        <v>169</v>
      </c>
      <c r="F20" s="2">
        <v>253</v>
      </c>
      <c r="G20" s="2">
        <v>434</v>
      </c>
      <c r="H20" s="23"/>
      <c r="I20" s="1" t="s">
        <v>7</v>
      </c>
      <c r="J20" s="2">
        <v>0</v>
      </c>
      <c r="K20" s="2">
        <v>680</v>
      </c>
      <c r="L20" s="2">
        <v>12352</v>
      </c>
      <c r="M20" s="2">
        <v>1943</v>
      </c>
      <c r="N20" s="2">
        <v>14975</v>
      </c>
    </row>
    <row r="21" spans="1:14" ht="17" x14ac:dyDescent="0.2">
      <c r="A21" s="24">
        <v>45078</v>
      </c>
      <c r="B21" s="1" t="s">
        <v>7</v>
      </c>
      <c r="C21" s="2">
        <v>0</v>
      </c>
      <c r="D21" s="2">
        <v>12</v>
      </c>
      <c r="E21" s="2">
        <v>170</v>
      </c>
      <c r="F21" s="2">
        <v>249</v>
      </c>
      <c r="G21" s="2">
        <v>431</v>
      </c>
      <c r="H21" s="23"/>
      <c r="I21" s="1" t="s">
        <v>7</v>
      </c>
      <c r="J21" s="2">
        <v>0</v>
      </c>
      <c r="K21" s="2">
        <v>665</v>
      </c>
      <c r="L21" s="2">
        <v>12307</v>
      </c>
      <c r="M21" s="2">
        <v>1915</v>
      </c>
      <c r="N21" s="2">
        <v>14887</v>
      </c>
    </row>
    <row r="22" spans="1:14" ht="17" x14ac:dyDescent="0.2">
      <c r="A22" s="24">
        <v>45108</v>
      </c>
      <c r="B22" s="1" t="s">
        <v>7</v>
      </c>
      <c r="C22" s="2">
        <v>0</v>
      </c>
      <c r="D22" s="2">
        <v>12</v>
      </c>
      <c r="E22" s="2">
        <v>168</v>
      </c>
      <c r="F22" s="2">
        <v>252</v>
      </c>
      <c r="G22" s="2">
        <v>432</v>
      </c>
      <c r="H22" s="23"/>
      <c r="I22" s="1" t="s">
        <v>7</v>
      </c>
      <c r="J22" s="2">
        <v>0</v>
      </c>
      <c r="K22" s="2">
        <v>665</v>
      </c>
      <c r="L22" s="2">
        <v>12227</v>
      </c>
      <c r="M22" s="2">
        <v>1935</v>
      </c>
      <c r="N22" s="2">
        <v>14827</v>
      </c>
    </row>
    <row r="23" spans="1:14" ht="17" x14ac:dyDescent="0.2">
      <c r="A23" s="24">
        <v>45139</v>
      </c>
      <c r="B23" s="1" t="s">
        <v>7</v>
      </c>
      <c r="C23" s="2">
        <v>0</v>
      </c>
      <c r="D23" s="2">
        <v>12</v>
      </c>
      <c r="E23" s="2">
        <v>169</v>
      </c>
      <c r="F23" s="2">
        <v>252</v>
      </c>
      <c r="G23" s="2">
        <v>433</v>
      </c>
      <c r="H23" s="23"/>
      <c r="I23" s="1" t="s">
        <v>7</v>
      </c>
      <c r="J23" s="2">
        <v>0</v>
      </c>
      <c r="K23" s="2">
        <v>665</v>
      </c>
      <c r="L23" s="2">
        <v>12378</v>
      </c>
      <c r="M23" s="2">
        <v>1935</v>
      </c>
      <c r="N23" s="2">
        <v>14978</v>
      </c>
    </row>
    <row r="24" spans="1:14" ht="17" x14ac:dyDescent="0.2">
      <c r="A24" s="24">
        <v>45170</v>
      </c>
      <c r="B24" s="1" t="s">
        <v>7</v>
      </c>
      <c r="C24" s="2">
        <v>0</v>
      </c>
      <c r="D24" s="2">
        <v>12</v>
      </c>
      <c r="E24" s="2">
        <v>171</v>
      </c>
      <c r="F24" s="2">
        <v>251</v>
      </c>
      <c r="G24" s="2">
        <v>434</v>
      </c>
      <c r="H24" s="23"/>
      <c r="I24" s="1" t="s">
        <v>7</v>
      </c>
      <c r="J24" s="2">
        <v>0</v>
      </c>
      <c r="K24" s="2">
        <v>665</v>
      </c>
      <c r="L24" s="2">
        <v>12488</v>
      </c>
      <c r="M24" s="2">
        <v>1926</v>
      </c>
      <c r="N24" s="2">
        <v>15079</v>
      </c>
    </row>
    <row r="25" spans="1:14" ht="17" x14ac:dyDescent="0.2">
      <c r="A25" s="24">
        <v>45200</v>
      </c>
      <c r="B25" s="1" t="s">
        <v>7</v>
      </c>
      <c r="C25" s="2">
        <v>0</v>
      </c>
      <c r="D25" s="2">
        <v>12</v>
      </c>
      <c r="E25" s="2">
        <v>171</v>
      </c>
      <c r="F25" s="2">
        <v>253</v>
      </c>
      <c r="G25" s="2">
        <v>436</v>
      </c>
      <c r="H25" s="23"/>
      <c r="I25" s="1" t="s">
        <v>7</v>
      </c>
      <c r="J25" s="2">
        <v>0</v>
      </c>
      <c r="K25" s="2">
        <v>665</v>
      </c>
      <c r="L25" s="2">
        <v>12382</v>
      </c>
      <c r="M25" s="2">
        <v>1944</v>
      </c>
      <c r="N25" s="2">
        <v>14991</v>
      </c>
    </row>
    <row r="26" spans="1:14" ht="17" x14ac:dyDescent="0.2">
      <c r="A26" s="24">
        <v>45231</v>
      </c>
      <c r="B26" s="1" t="s">
        <v>7</v>
      </c>
      <c r="C26" s="2">
        <v>0</v>
      </c>
      <c r="D26" s="2">
        <v>12</v>
      </c>
      <c r="E26" s="2">
        <v>171</v>
      </c>
      <c r="F26" s="2">
        <v>249</v>
      </c>
      <c r="G26" s="2">
        <v>432</v>
      </c>
      <c r="H26" s="23"/>
      <c r="I26" s="1" t="s">
        <v>7</v>
      </c>
      <c r="J26" s="2">
        <v>0</v>
      </c>
      <c r="K26" s="2">
        <v>665</v>
      </c>
      <c r="L26" s="2">
        <v>12428</v>
      </c>
      <c r="M26" s="2">
        <v>1916</v>
      </c>
      <c r="N26" s="2">
        <v>15009</v>
      </c>
    </row>
    <row r="27" spans="1:14" ht="17" x14ac:dyDescent="0.2">
      <c r="A27" s="24">
        <v>45261</v>
      </c>
      <c r="B27" s="26" t="s">
        <v>7</v>
      </c>
      <c r="C27" s="27">
        <v>0</v>
      </c>
      <c r="D27" s="27">
        <v>12</v>
      </c>
      <c r="E27" s="27">
        <v>171</v>
      </c>
      <c r="F27" s="27">
        <v>247</v>
      </c>
      <c r="G27" s="27">
        <v>430</v>
      </c>
      <c r="H27" s="23"/>
      <c r="I27" s="26" t="s">
        <v>7</v>
      </c>
      <c r="J27" s="27">
        <v>0</v>
      </c>
      <c r="K27" s="27">
        <v>665</v>
      </c>
      <c r="L27" s="27">
        <v>12420</v>
      </c>
      <c r="M27" s="27">
        <v>1904</v>
      </c>
      <c r="N27" s="27">
        <v>14989</v>
      </c>
    </row>
    <row r="28" spans="1:14" ht="18" thickBot="1" x14ac:dyDescent="0.25">
      <c r="A28" s="35" t="s">
        <v>10</v>
      </c>
      <c r="B28" s="31" t="s">
        <v>7</v>
      </c>
      <c r="C28" s="36">
        <v>0</v>
      </c>
      <c r="D28" s="33">
        <f>AVERAGE(D16:D27)</f>
        <v>12</v>
      </c>
      <c r="E28" s="33">
        <f t="shared" ref="E28:G28" si="2">AVERAGE(E16:E27)</f>
        <v>169.66666666666666</v>
      </c>
      <c r="F28" s="33">
        <f t="shared" si="2"/>
        <v>252.75</v>
      </c>
      <c r="G28" s="34">
        <f t="shared" si="2"/>
        <v>434.41666666666669</v>
      </c>
      <c r="H28" s="25"/>
      <c r="I28" s="38" t="s">
        <v>7</v>
      </c>
      <c r="J28" s="36">
        <v>0</v>
      </c>
      <c r="K28" s="33">
        <f t="shared" ref="K28:L28" si="3">AVERAGE(K16:K27)</f>
        <v>671.25</v>
      </c>
      <c r="L28" s="33">
        <f t="shared" si="3"/>
        <v>12380.583333333334</v>
      </c>
      <c r="M28" s="33">
        <f t="shared" ref="M28" si="4">AVERAGE(M16:M27)</f>
        <v>1942.5833333333333</v>
      </c>
      <c r="N28" s="34">
        <f t="shared" ref="N28" si="5">AVERAGE(N16:N27)</f>
        <v>14994.416666666666</v>
      </c>
    </row>
    <row r="29" spans="1:14" ht="17" x14ac:dyDescent="0.2">
      <c r="A29" s="24">
        <v>45292</v>
      </c>
      <c r="B29" s="28" t="s">
        <v>7</v>
      </c>
      <c r="C29" s="29">
        <v>0</v>
      </c>
      <c r="D29" s="29">
        <v>12</v>
      </c>
      <c r="E29" s="29">
        <v>170</v>
      </c>
      <c r="F29" s="29">
        <v>244</v>
      </c>
      <c r="G29" s="29">
        <v>426</v>
      </c>
      <c r="H29" s="23"/>
      <c r="I29" s="28" t="s">
        <v>7</v>
      </c>
      <c r="J29" s="29">
        <v>0</v>
      </c>
      <c r="K29" s="29">
        <v>650</v>
      </c>
      <c r="L29" s="29">
        <v>12337</v>
      </c>
      <c r="M29" s="29">
        <v>1883</v>
      </c>
      <c r="N29" s="29">
        <v>14870</v>
      </c>
    </row>
    <row r="30" spans="1:14" ht="17" x14ac:dyDescent="0.2">
      <c r="A30" s="24">
        <v>45323</v>
      </c>
      <c r="B30" s="1" t="s">
        <v>7</v>
      </c>
      <c r="C30" s="2">
        <v>0</v>
      </c>
      <c r="D30" s="2">
        <v>12</v>
      </c>
      <c r="E30" s="2">
        <v>169</v>
      </c>
      <c r="F30" s="2">
        <v>246</v>
      </c>
      <c r="G30" s="2">
        <v>427</v>
      </c>
      <c r="H30" s="23"/>
      <c r="I30" s="1" t="s">
        <v>7</v>
      </c>
      <c r="J30" s="2">
        <v>0</v>
      </c>
      <c r="K30" s="2">
        <v>650</v>
      </c>
      <c r="L30" s="2">
        <v>12420</v>
      </c>
      <c r="M30" s="2">
        <v>1898</v>
      </c>
      <c r="N30" s="2">
        <v>14968</v>
      </c>
    </row>
    <row r="31" spans="1:14" ht="17" x14ac:dyDescent="0.2">
      <c r="A31" s="24">
        <v>45352</v>
      </c>
      <c r="B31" s="1" t="s">
        <v>7</v>
      </c>
      <c r="C31" s="2">
        <v>0</v>
      </c>
      <c r="D31" s="2">
        <v>12</v>
      </c>
      <c r="E31" s="2">
        <v>169</v>
      </c>
      <c r="F31" s="2">
        <v>249</v>
      </c>
      <c r="G31" s="2">
        <v>430</v>
      </c>
      <c r="H31" s="23"/>
      <c r="I31" s="1" t="s">
        <v>7</v>
      </c>
      <c r="J31" s="2">
        <v>0</v>
      </c>
      <c r="K31" s="2">
        <v>650</v>
      </c>
      <c r="L31" s="2">
        <v>12375</v>
      </c>
      <c r="M31" s="2">
        <v>1920</v>
      </c>
      <c r="N31" s="2">
        <v>14945</v>
      </c>
    </row>
    <row r="32" spans="1:14" ht="17" x14ac:dyDescent="0.2">
      <c r="A32" s="24">
        <v>45383</v>
      </c>
      <c r="B32" s="1" t="s">
        <v>7</v>
      </c>
      <c r="C32" s="2">
        <v>0</v>
      </c>
      <c r="D32" s="2">
        <v>12</v>
      </c>
      <c r="E32" s="2">
        <v>176</v>
      </c>
      <c r="F32" s="2">
        <v>251</v>
      </c>
      <c r="G32" s="2">
        <v>439</v>
      </c>
      <c r="H32" s="23"/>
      <c r="I32" s="1" t="s">
        <v>7</v>
      </c>
      <c r="J32" s="2">
        <v>0</v>
      </c>
      <c r="K32" s="2">
        <v>650</v>
      </c>
      <c r="L32" s="2">
        <v>13095</v>
      </c>
      <c r="M32" s="2">
        <v>1935</v>
      </c>
      <c r="N32" s="2">
        <v>15680</v>
      </c>
    </row>
    <row r="33" spans="1:14" ht="17" x14ac:dyDescent="0.2">
      <c r="A33" s="24">
        <v>45413</v>
      </c>
      <c r="B33" s="1" t="s">
        <v>7</v>
      </c>
      <c r="C33" s="2">
        <v>0</v>
      </c>
      <c r="D33" s="2">
        <v>12</v>
      </c>
      <c r="E33" s="2">
        <v>170</v>
      </c>
      <c r="F33" s="2">
        <v>250</v>
      </c>
      <c r="G33" s="2">
        <v>432</v>
      </c>
      <c r="H33" s="23"/>
      <c r="I33" s="1" t="s">
        <v>7</v>
      </c>
      <c r="J33" s="2">
        <v>0</v>
      </c>
      <c r="K33" s="2">
        <v>650</v>
      </c>
      <c r="L33" s="2">
        <v>12404</v>
      </c>
      <c r="M33" s="2">
        <v>1927</v>
      </c>
      <c r="N33" s="2">
        <v>14981</v>
      </c>
    </row>
    <row r="34" spans="1:14" ht="17" x14ac:dyDescent="0.2">
      <c r="A34" s="24">
        <v>45444</v>
      </c>
      <c r="B34" s="1" t="s">
        <v>7</v>
      </c>
      <c r="C34" s="2">
        <v>0</v>
      </c>
      <c r="D34" s="2">
        <v>12</v>
      </c>
      <c r="E34" s="2">
        <v>172</v>
      </c>
      <c r="F34" s="2">
        <v>250</v>
      </c>
      <c r="G34" s="2">
        <v>434</v>
      </c>
      <c r="H34" s="23"/>
      <c r="I34" s="1" t="s">
        <v>7</v>
      </c>
      <c r="J34" s="2">
        <v>0</v>
      </c>
      <c r="K34" s="2">
        <v>650</v>
      </c>
      <c r="L34" s="2">
        <v>12472</v>
      </c>
      <c r="M34" s="2">
        <v>1928</v>
      </c>
      <c r="N34" s="2">
        <v>15050</v>
      </c>
    </row>
    <row r="35" spans="1:14" ht="17" x14ac:dyDescent="0.2">
      <c r="A35" s="24">
        <v>45474</v>
      </c>
      <c r="B35" s="1" t="s">
        <v>7</v>
      </c>
      <c r="C35" s="2">
        <v>0</v>
      </c>
      <c r="D35" s="2">
        <v>12</v>
      </c>
      <c r="E35" s="2">
        <v>170</v>
      </c>
      <c r="F35" s="2">
        <v>250</v>
      </c>
      <c r="G35" s="2">
        <v>432</v>
      </c>
      <c r="H35" s="23"/>
      <c r="I35" s="1" t="s">
        <v>7</v>
      </c>
      <c r="J35" s="2">
        <v>0</v>
      </c>
      <c r="K35" s="2">
        <v>650</v>
      </c>
      <c r="L35" s="2">
        <v>12443</v>
      </c>
      <c r="M35" s="2">
        <v>1924</v>
      </c>
      <c r="N35" s="2">
        <v>15017</v>
      </c>
    </row>
    <row r="36" spans="1:14" ht="17" x14ac:dyDescent="0.2">
      <c r="A36" s="24">
        <v>45505</v>
      </c>
      <c r="B36" s="1" t="s">
        <v>7</v>
      </c>
      <c r="C36" s="2">
        <v>0</v>
      </c>
      <c r="D36" s="2">
        <v>12</v>
      </c>
      <c r="E36" s="2">
        <v>170</v>
      </c>
      <c r="F36" s="2">
        <v>250</v>
      </c>
      <c r="G36" s="2">
        <v>432</v>
      </c>
      <c r="H36" s="23"/>
      <c r="I36" s="1" t="s">
        <v>7</v>
      </c>
      <c r="J36" s="2">
        <v>0</v>
      </c>
      <c r="K36" s="2">
        <v>650</v>
      </c>
      <c r="L36" s="2">
        <v>12378</v>
      </c>
      <c r="M36" s="2">
        <v>1925</v>
      </c>
      <c r="N36" s="2">
        <v>14953</v>
      </c>
    </row>
    <row r="37" spans="1:14" ht="17" x14ac:dyDescent="0.2">
      <c r="A37" s="24">
        <v>45536</v>
      </c>
      <c r="B37" s="1" t="s">
        <v>7</v>
      </c>
      <c r="C37" s="2">
        <v>0</v>
      </c>
      <c r="D37" s="2">
        <v>12</v>
      </c>
      <c r="E37" s="2">
        <v>172</v>
      </c>
      <c r="F37" s="2">
        <v>247</v>
      </c>
      <c r="G37" s="2">
        <v>431</v>
      </c>
      <c r="H37" s="23"/>
      <c r="I37" s="1" t="s">
        <v>7</v>
      </c>
      <c r="J37" s="2">
        <v>0</v>
      </c>
      <c r="K37" s="2">
        <v>650</v>
      </c>
      <c r="L37" s="2">
        <v>12632</v>
      </c>
      <c r="M37" s="2">
        <v>1900</v>
      </c>
      <c r="N37" s="2">
        <v>15182</v>
      </c>
    </row>
    <row r="38" spans="1:14" ht="17" x14ac:dyDescent="0.2">
      <c r="A38" s="24">
        <v>45566</v>
      </c>
      <c r="B38" s="1" t="s">
        <v>7</v>
      </c>
      <c r="C38" s="2">
        <v>0</v>
      </c>
      <c r="D38" s="2">
        <v>12</v>
      </c>
      <c r="E38" s="2">
        <v>171</v>
      </c>
      <c r="F38" s="2">
        <v>247</v>
      </c>
      <c r="G38" s="2">
        <v>430</v>
      </c>
      <c r="H38" s="23"/>
      <c r="I38" s="1" t="s">
        <v>7</v>
      </c>
      <c r="J38" s="2">
        <v>0</v>
      </c>
      <c r="K38" s="2">
        <v>650</v>
      </c>
      <c r="L38" s="2">
        <v>12596</v>
      </c>
      <c r="M38" s="2">
        <v>1901</v>
      </c>
      <c r="N38" s="2">
        <v>15147</v>
      </c>
    </row>
    <row r="39" spans="1:14" ht="17" x14ac:dyDescent="0.2">
      <c r="A39" s="24">
        <v>45597</v>
      </c>
      <c r="B39" s="1" t="s">
        <v>7</v>
      </c>
      <c r="C39" s="2">
        <v>0</v>
      </c>
      <c r="D39" s="2">
        <v>11</v>
      </c>
      <c r="E39" s="2">
        <v>171</v>
      </c>
      <c r="F39" s="2">
        <v>244</v>
      </c>
      <c r="G39" s="2">
        <v>426</v>
      </c>
      <c r="H39" s="23"/>
      <c r="I39" s="1" t="s">
        <v>7</v>
      </c>
      <c r="J39" s="2">
        <v>0</v>
      </c>
      <c r="K39" s="2">
        <v>615</v>
      </c>
      <c r="L39" s="2">
        <v>12596</v>
      </c>
      <c r="M39" s="2">
        <v>1877</v>
      </c>
      <c r="N39" s="2">
        <v>15088</v>
      </c>
    </row>
    <row r="40" spans="1:14" ht="18" thickBot="1" x14ac:dyDescent="0.25">
      <c r="A40" s="24">
        <v>45627</v>
      </c>
      <c r="B40" s="26" t="s">
        <v>7</v>
      </c>
      <c r="C40" s="27">
        <v>0</v>
      </c>
      <c r="D40" s="27">
        <v>12</v>
      </c>
      <c r="E40" s="27">
        <v>171</v>
      </c>
      <c r="F40" s="27">
        <v>243</v>
      </c>
      <c r="G40" s="27">
        <v>426</v>
      </c>
      <c r="H40" s="23"/>
      <c r="I40" s="26" t="s">
        <v>7</v>
      </c>
      <c r="J40" s="27">
        <v>0</v>
      </c>
      <c r="K40" s="27">
        <v>705</v>
      </c>
      <c r="L40" s="27">
        <v>12596</v>
      </c>
      <c r="M40" s="27">
        <v>1869</v>
      </c>
      <c r="N40" s="27">
        <v>15170</v>
      </c>
    </row>
    <row r="41" spans="1:14" ht="18" thickBot="1" x14ac:dyDescent="0.25">
      <c r="A41" s="35" t="s">
        <v>11</v>
      </c>
      <c r="B41" s="31" t="s">
        <v>7</v>
      </c>
      <c r="C41" s="36">
        <v>0</v>
      </c>
      <c r="D41" s="33">
        <f>AVERAGE(D29:D40)</f>
        <v>11.916666666666666</v>
      </c>
      <c r="E41" s="33">
        <f t="shared" ref="E41:N41" si="6">AVERAGE(E29:E40)</f>
        <v>170.91666666666666</v>
      </c>
      <c r="F41" s="33">
        <f t="shared" si="6"/>
        <v>247.58333333333334</v>
      </c>
      <c r="G41" s="34">
        <f t="shared" si="6"/>
        <v>430.41666666666669</v>
      </c>
      <c r="H41" s="25"/>
      <c r="I41" s="37" t="s">
        <v>7</v>
      </c>
      <c r="J41" s="36">
        <v>0</v>
      </c>
      <c r="K41" s="33">
        <f t="shared" si="6"/>
        <v>651.66666666666663</v>
      </c>
      <c r="L41" s="33">
        <f t="shared" si="6"/>
        <v>12528.666666666666</v>
      </c>
      <c r="M41" s="33">
        <f t="shared" si="6"/>
        <v>1907.25</v>
      </c>
      <c r="N41" s="34">
        <f t="shared" si="6"/>
        <v>15087.583333333334</v>
      </c>
    </row>
    <row r="42" spans="1:14" x14ac:dyDescent="0.2">
      <c r="A42" s="7"/>
    </row>
    <row r="43" spans="1:14" x14ac:dyDescent="0.2">
      <c r="A43" s="7"/>
    </row>
    <row r="44" spans="1:14" x14ac:dyDescent="0.2">
      <c r="A44" s="7"/>
    </row>
    <row r="45" spans="1:14" x14ac:dyDescent="0.2">
      <c r="A45" s="7"/>
    </row>
    <row r="46" spans="1:14" x14ac:dyDescent="0.2">
      <c r="A46" s="7"/>
    </row>
    <row r="47" spans="1:14" x14ac:dyDescent="0.2">
      <c r="A47" s="7"/>
    </row>
    <row r="48" spans="1:14" x14ac:dyDescent="0.2">
      <c r="A48" s="7"/>
    </row>
    <row r="49" spans="1:1" x14ac:dyDescent="0.2">
      <c r="A49" s="7"/>
    </row>
    <row r="50" spans="1:1" x14ac:dyDescent="0.2">
      <c r="A50" s="7"/>
    </row>
    <row r="51" spans="1:1" x14ac:dyDescent="0.2">
      <c r="A51" s="7"/>
    </row>
  </sheetData>
  <mergeCells count="7">
    <mergeCell ref="A1:A2"/>
    <mergeCell ref="I1:I2"/>
    <mergeCell ref="J1:M1"/>
    <mergeCell ref="N1:N2"/>
    <mergeCell ref="B1:B2"/>
    <mergeCell ref="C1:F1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C812-5AE5-5F48-B977-8D6E027C6D59}">
  <dimension ref="A1:G41"/>
  <sheetViews>
    <sheetView tabSelected="1" workbookViewId="0">
      <selection activeCell="C1" sqref="A1:XFD1"/>
    </sheetView>
  </sheetViews>
  <sheetFormatPr baseColWidth="10" defaultRowHeight="16" x14ac:dyDescent="0.2"/>
  <sheetData>
    <row r="1" spans="1:7" x14ac:dyDescent="0.2">
      <c r="A1" s="54" t="s">
        <v>13</v>
      </c>
      <c r="B1" s="55" t="s">
        <v>0</v>
      </c>
      <c r="C1" s="57" t="s">
        <v>1</v>
      </c>
      <c r="D1" s="58"/>
      <c r="E1" s="58"/>
      <c r="F1" s="59"/>
      <c r="G1" s="55" t="s">
        <v>2</v>
      </c>
    </row>
    <row r="2" spans="1:7" ht="68" x14ac:dyDescent="0.2">
      <c r="A2" s="54"/>
      <c r="B2" s="56"/>
      <c r="C2" s="52" t="s">
        <v>3</v>
      </c>
      <c r="D2" s="52" t="s">
        <v>4</v>
      </c>
      <c r="E2" s="52" t="s">
        <v>5</v>
      </c>
      <c r="F2" s="52" t="s">
        <v>6</v>
      </c>
      <c r="G2" s="56"/>
    </row>
    <row r="3" spans="1:7" ht="17" x14ac:dyDescent="0.2">
      <c r="A3" s="22">
        <v>44562</v>
      </c>
      <c r="B3" s="1" t="s">
        <v>7</v>
      </c>
      <c r="C3" s="2">
        <v>0</v>
      </c>
      <c r="D3" s="2">
        <v>684</v>
      </c>
      <c r="E3" s="2">
        <v>13207</v>
      </c>
      <c r="F3" s="2">
        <v>1992</v>
      </c>
      <c r="G3" s="2">
        <v>15883</v>
      </c>
    </row>
    <row r="4" spans="1:7" ht="17" x14ac:dyDescent="0.2">
      <c r="A4" s="22">
        <v>44593</v>
      </c>
      <c r="B4" s="3" t="s">
        <v>7</v>
      </c>
      <c r="C4" s="4" t="s">
        <v>8</v>
      </c>
      <c r="D4" s="4">
        <v>679</v>
      </c>
      <c r="E4" s="4">
        <v>13213</v>
      </c>
      <c r="F4" s="4">
        <v>2009</v>
      </c>
      <c r="G4" s="4">
        <v>15901</v>
      </c>
    </row>
    <row r="5" spans="1:7" ht="17" x14ac:dyDescent="0.2">
      <c r="A5" s="22">
        <v>44621</v>
      </c>
      <c r="B5" s="3" t="s">
        <v>7</v>
      </c>
      <c r="C5" s="4" t="s">
        <v>8</v>
      </c>
      <c r="D5" s="4">
        <v>679</v>
      </c>
      <c r="E5" s="4">
        <v>13217</v>
      </c>
      <c r="F5" s="4">
        <v>2010</v>
      </c>
      <c r="G5" s="4">
        <v>15906</v>
      </c>
    </row>
    <row r="6" spans="1:7" ht="17" x14ac:dyDescent="0.2">
      <c r="A6" s="22">
        <v>44652</v>
      </c>
      <c r="B6" s="1" t="s">
        <v>7</v>
      </c>
      <c r="C6" s="2">
        <v>0</v>
      </c>
      <c r="D6" s="2">
        <v>679</v>
      </c>
      <c r="E6" s="2">
        <v>13182</v>
      </c>
      <c r="F6" s="2">
        <v>1997</v>
      </c>
      <c r="G6" s="2">
        <v>15858</v>
      </c>
    </row>
    <row r="7" spans="1:7" ht="17" x14ac:dyDescent="0.2">
      <c r="A7" s="22">
        <v>44682</v>
      </c>
      <c r="B7" s="3" t="s">
        <v>7</v>
      </c>
      <c r="C7" s="4" t="s">
        <v>8</v>
      </c>
      <c r="D7" s="4">
        <v>679</v>
      </c>
      <c r="E7" s="4">
        <v>13028</v>
      </c>
      <c r="F7" s="4">
        <v>1997</v>
      </c>
      <c r="G7" s="4">
        <v>15704</v>
      </c>
    </row>
    <row r="8" spans="1:7" ht="17" x14ac:dyDescent="0.2">
      <c r="A8" s="22">
        <v>44713</v>
      </c>
      <c r="B8" s="1" t="s">
        <v>7</v>
      </c>
      <c r="C8" s="2">
        <v>0</v>
      </c>
      <c r="D8" s="2">
        <v>679</v>
      </c>
      <c r="E8" s="2">
        <v>12887</v>
      </c>
      <c r="F8" s="2">
        <v>2000</v>
      </c>
      <c r="G8" s="2">
        <v>15566</v>
      </c>
    </row>
    <row r="9" spans="1:7" ht="17" x14ac:dyDescent="0.2">
      <c r="A9" s="22">
        <v>44743</v>
      </c>
      <c r="B9" s="1" t="s">
        <v>7</v>
      </c>
      <c r="C9" s="2">
        <v>0</v>
      </c>
      <c r="D9" s="2">
        <v>680</v>
      </c>
      <c r="E9" s="2">
        <v>12592</v>
      </c>
      <c r="F9" s="2">
        <v>1973</v>
      </c>
      <c r="G9" s="2">
        <v>15245</v>
      </c>
    </row>
    <row r="10" spans="1:7" ht="17" x14ac:dyDescent="0.2">
      <c r="A10" s="22">
        <v>44774</v>
      </c>
      <c r="B10" s="1" t="s">
        <v>7</v>
      </c>
      <c r="C10" s="2">
        <v>0</v>
      </c>
      <c r="D10" s="2">
        <v>680</v>
      </c>
      <c r="E10" s="2">
        <v>12520</v>
      </c>
      <c r="F10" s="2">
        <v>1988</v>
      </c>
      <c r="G10" s="2">
        <v>15188</v>
      </c>
    </row>
    <row r="11" spans="1:7" ht="17" x14ac:dyDescent="0.2">
      <c r="A11" s="22">
        <v>44805</v>
      </c>
      <c r="B11" s="1" t="s">
        <v>7</v>
      </c>
      <c r="C11" s="2">
        <v>0</v>
      </c>
      <c r="D11" s="2">
        <v>680</v>
      </c>
      <c r="E11" s="2">
        <v>12527</v>
      </c>
      <c r="F11" s="2">
        <v>1982</v>
      </c>
      <c r="G11" s="2">
        <v>15189</v>
      </c>
    </row>
    <row r="12" spans="1:7" ht="17" x14ac:dyDescent="0.2">
      <c r="A12" s="22">
        <v>44835</v>
      </c>
      <c r="B12" s="1" t="s">
        <v>7</v>
      </c>
      <c r="C12" s="2">
        <v>0</v>
      </c>
      <c r="D12" s="2">
        <v>680</v>
      </c>
      <c r="E12" s="2">
        <v>12738</v>
      </c>
      <c r="F12" s="2">
        <v>1975</v>
      </c>
      <c r="G12" s="2">
        <v>15393</v>
      </c>
    </row>
    <row r="13" spans="1:7" ht="17" x14ac:dyDescent="0.2">
      <c r="A13" s="22">
        <v>44866</v>
      </c>
      <c r="B13" s="1" t="s">
        <v>7</v>
      </c>
      <c r="C13" s="2">
        <v>0</v>
      </c>
      <c r="D13" s="2">
        <v>680</v>
      </c>
      <c r="E13" s="2">
        <v>12744</v>
      </c>
      <c r="F13" s="2">
        <v>1995</v>
      </c>
      <c r="G13" s="2">
        <v>15419</v>
      </c>
    </row>
    <row r="14" spans="1:7" ht="18" thickBot="1" x14ac:dyDescent="0.25">
      <c r="A14" s="22">
        <v>44896</v>
      </c>
      <c r="B14" s="26" t="s">
        <v>7</v>
      </c>
      <c r="C14" s="27">
        <v>0</v>
      </c>
      <c r="D14" s="27">
        <v>680</v>
      </c>
      <c r="E14" s="27">
        <v>12626</v>
      </c>
      <c r="F14" s="27">
        <v>1997</v>
      </c>
      <c r="G14" s="27">
        <v>15303</v>
      </c>
    </row>
    <row r="15" spans="1:7" ht="18" thickBot="1" x14ac:dyDescent="0.25">
      <c r="A15" s="30" t="s">
        <v>9</v>
      </c>
      <c r="B15" s="38" t="s">
        <v>7</v>
      </c>
      <c r="C15" s="32">
        <v>0</v>
      </c>
      <c r="D15" s="33">
        <f>AVERAGE(D3:D14)</f>
        <v>679.91666666666663</v>
      </c>
      <c r="E15" s="33">
        <f t="shared" ref="E15:G15" si="0">AVERAGE(E3:E14)</f>
        <v>12873.416666666666</v>
      </c>
      <c r="F15" s="33">
        <f t="shared" si="0"/>
        <v>1992.9166666666667</v>
      </c>
      <c r="G15" s="34">
        <f t="shared" si="0"/>
        <v>15546.25</v>
      </c>
    </row>
    <row r="16" spans="1:7" ht="17" x14ac:dyDescent="0.2">
      <c r="A16" s="24">
        <v>44927</v>
      </c>
      <c r="B16" s="28" t="s">
        <v>7</v>
      </c>
      <c r="C16" s="29">
        <v>0</v>
      </c>
      <c r="D16" s="29">
        <v>680</v>
      </c>
      <c r="E16" s="29">
        <v>12422</v>
      </c>
      <c r="F16" s="29">
        <v>1992</v>
      </c>
      <c r="G16" s="29">
        <v>15094</v>
      </c>
    </row>
    <row r="17" spans="1:7" ht="17" x14ac:dyDescent="0.2">
      <c r="A17" s="24">
        <v>44958</v>
      </c>
      <c r="B17" s="1" t="s">
        <v>7</v>
      </c>
      <c r="C17" s="2">
        <v>0</v>
      </c>
      <c r="D17" s="2">
        <v>680</v>
      </c>
      <c r="E17" s="2">
        <v>12422</v>
      </c>
      <c r="F17" s="2">
        <v>1976</v>
      </c>
      <c r="G17" s="2">
        <v>15078</v>
      </c>
    </row>
    <row r="18" spans="1:7" ht="17" x14ac:dyDescent="0.2">
      <c r="A18" s="24">
        <v>44986</v>
      </c>
      <c r="B18" s="1" t="s">
        <v>7</v>
      </c>
      <c r="C18" s="2">
        <v>0</v>
      </c>
      <c r="D18" s="2">
        <v>680</v>
      </c>
      <c r="E18" s="2">
        <v>12411</v>
      </c>
      <c r="F18" s="2">
        <v>1966</v>
      </c>
      <c r="G18" s="2">
        <v>15057</v>
      </c>
    </row>
    <row r="19" spans="1:7" ht="17" x14ac:dyDescent="0.2">
      <c r="A19" s="24">
        <v>45017</v>
      </c>
      <c r="B19" s="1" t="s">
        <v>7</v>
      </c>
      <c r="C19" s="2">
        <v>0</v>
      </c>
      <c r="D19" s="2">
        <v>680</v>
      </c>
      <c r="E19" s="2">
        <v>12330</v>
      </c>
      <c r="F19" s="2">
        <v>1959</v>
      </c>
      <c r="G19" s="2">
        <v>14969</v>
      </c>
    </row>
    <row r="20" spans="1:7" ht="17" x14ac:dyDescent="0.2">
      <c r="A20" s="24">
        <v>45047</v>
      </c>
      <c r="B20" s="1" t="s">
        <v>7</v>
      </c>
      <c r="C20" s="2">
        <v>0</v>
      </c>
      <c r="D20" s="2">
        <v>680</v>
      </c>
      <c r="E20" s="2">
        <v>12352</v>
      </c>
      <c r="F20" s="2">
        <v>1943</v>
      </c>
      <c r="G20" s="2">
        <v>14975</v>
      </c>
    </row>
    <row r="21" spans="1:7" ht="17" x14ac:dyDescent="0.2">
      <c r="A21" s="24">
        <v>45078</v>
      </c>
      <c r="B21" s="1" t="s">
        <v>7</v>
      </c>
      <c r="C21" s="2">
        <v>0</v>
      </c>
      <c r="D21" s="2">
        <v>665</v>
      </c>
      <c r="E21" s="2">
        <v>12307</v>
      </c>
      <c r="F21" s="2">
        <v>1915</v>
      </c>
      <c r="G21" s="2">
        <v>14887</v>
      </c>
    </row>
    <row r="22" spans="1:7" ht="17" x14ac:dyDescent="0.2">
      <c r="A22" s="24">
        <v>45108</v>
      </c>
      <c r="B22" s="1" t="s">
        <v>7</v>
      </c>
      <c r="C22" s="2">
        <v>0</v>
      </c>
      <c r="D22" s="2">
        <v>665</v>
      </c>
      <c r="E22" s="2">
        <v>12227</v>
      </c>
      <c r="F22" s="2">
        <v>1935</v>
      </c>
      <c r="G22" s="2">
        <v>14827</v>
      </c>
    </row>
    <row r="23" spans="1:7" ht="17" x14ac:dyDescent="0.2">
      <c r="A23" s="24">
        <v>45139</v>
      </c>
      <c r="B23" s="1" t="s">
        <v>7</v>
      </c>
      <c r="C23" s="2">
        <v>0</v>
      </c>
      <c r="D23" s="2">
        <v>665</v>
      </c>
      <c r="E23" s="2">
        <v>12378</v>
      </c>
      <c r="F23" s="2">
        <v>1935</v>
      </c>
      <c r="G23" s="2">
        <v>14978</v>
      </c>
    </row>
    <row r="24" spans="1:7" ht="17" x14ac:dyDescent="0.2">
      <c r="A24" s="24">
        <v>45170</v>
      </c>
      <c r="B24" s="1" t="s">
        <v>7</v>
      </c>
      <c r="C24" s="2">
        <v>0</v>
      </c>
      <c r="D24" s="2">
        <v>665</v>
      </c>
      <c r="E24" s="2">
        <v>12488</v>
      </c>
      <c r="F24" s="2">
        <v>1926</v>
      </c>
      <c r="G24" s="2">
        <v>15079</v>
      </c>
    </row>
    <row r="25" spans="1:7" ht="17" x14ac:dyDescent="0.2">
      <c r="A25" s="24">
        <v>45200</v>
      </c>
      <c r="B25" s="1" t="s">
        <v>7</v>
      </c>
      <c r="C25" s="2">
        <v>0</v>
      </c>
      <c r="D25" s="2">
        <v>665</v>
      </c>
      <c r="E25" s="2">
        <v>12382</v>
      </c>
      <c r="F25" s="2">
        <v>1944</v>
      </c>
      <c r="G25" s="2">
        <v>14991</v>
      </c>
    </row>
    <row r="26" spans="1:7" ht="17" x14ac:dyDescent="0.2">
      <c r="A26" s="24">
        <v>45231</v>
      </c>
      <c r="B26" s="1" t="s">
        <v>7</v>
      </c>
      <c r="C26" s="2">
        <v>0</v>
      </c>
      <c r="D26" s="2">
        <v>665</v>
      </c>
      <c r="E26" s="2">
        <v>12428</v>
      </c>
      <c r="F26" s="2">
        <v>1916</v>
      </c>
      <c r="G26" s="2">
        <v>15009</v>
      </c>
    </row>
    <row r="27" spans="1:7" ht="18" thickBot="1" x14ac:dyDescent="0.25">
      <c r="A27" s="24">
        <v>45261</v>
      </c>
      <c r="B27" s="26" t="s">
        <v>7</v>
      </c>
      <c r="C27" s="27">
        <v>0</v>
      </c>
      <c r="D27" s="27">
        <v>665</v>
      </c>
      <c r="E27" s="27">
        <v>12420</v>
      </c>
      <c r="F27" s="27">
        <v>1904</v>
      </c>
      <c r="G27" s="27">
        <v>14989</v>
      </c>
    </row>
    <row r="28" spans="1:7" ht="18" thickBot="1" x14ac:dyDescent="0.25">
      <c r="A28" s="35" t="s">
        <v>10</v>
      </c>
      <c r="B28" s="38" t="s">
        <v>7</v>
      </c>
      <c r="C28" s="36">
        <v>0</v>
      </c>
      <c r="D28" s="33">
        <f t="shared" ref="D28:G28" si="1">AVERAGE(D16:D27)</f>
        <v>671.25</v>
      </c>
      <c r="E28" s="33">
        <f t="shared" si="1"/>
        <v>12380.583333333334</v>
      </c>
      <c r="F28" s="33">
        <f t="shared" si="1"/>
        <v>1942.5833333333333</v>
      </c>
      <c r="G28" s="34">
        <f t="shared" si="1"/>
        <v>14994.416666666666</v>
      </c>
    </row>
    <row r="29" spans="1:7" ht="17" x14ac:dyDescent="0.2">
      <c r="A29" s="24">
        <v>45292</v>
      </c>
      <c r="B29" s="28" t="s">
        <v>7</v>
      </c>
      <c r="C29" s="29">
        <v>0</v>
      </c>
      <c r="D29" s="29">
        <v>650</v>
      </c>
      <c r="E29" s="29">
        <v>12337</v>
      </c>
      <c r="F29" s="29">
        <v>1883</v>
      </c>
      <c r="G29" s="29">
        <v>14870</v>
      </c>
    </row>
    <row r="30" spans="1:7" ht="17" x14ac:dyDescent="0.2">
      <c r="A30" s="24">
        <v>45323</v>
      </c>
      <c r="B30" s="1" t="s">
        <v>7</v>
      </c>
      <c r="C30" s="2">
        <v>0</v>
      </c>
      <c r="D30" s="2">
        <v>650</v>
      </c>
      <c r="E30" s="2">
        <v>12420</v>
      </c>
      <c r="F30" s="2">
        <v>1898</v>
      </c>
      <c r="G30" s="2">
        <v>14968</v>
      </c>
    </row>
    <row r="31" spans="1:7" ht="17" x14ac:dyDescent="0.2">
      <c r="A31" s="24">
        <v>45352</v>
      </c>
      <c r="B31" s="1" t="s">
        <v>7</v>
      </c>
      <c r="C31" s="2">
        <v>0</v>
      </c>
      <c r="D31" s="2">
        <v>650</v>
      </c>
      <c r="E31" s="2">
        <v>12375</v>
      </c>
      <c r="F31" s="2">
        <v>1920</v>
      </c>
      <c r="G31" s="2">
        <v>14945</v>
      </c>
    </row>
    <row r="32" spans="1:7" ht="17" x14ac:dyDescent="0.2">
      <c r="A32" s="24">
        <v>45383</v>
      </c>
      <c r="B32" s="1" t="s">
        <v>7</v>
      </c>
      <c r="C32" s="2">
        <v>0</v>
      </c>
      <c r="D32" s="2">
        <v>650</v>
      </c>
      <c r="E32" s="2">
        <v>13095</v>
      </c>
      <c r="F32" s="2">
        <v>1935</v>
      </c>
      <c r="G32" s="2">
        <v>15680</v>
      </c>
    </row>
    <row r="33" spans="1:7" ht="17" x14ac:dyDescent="0.2">
      <c r="A33" s="24">
        <v>45413</v>
      </c>
      <c r="B33" s="1" t="s">
        <v>7</v>
      </c>
      <c r="C33" s="2">
        <v>0</v>
      </c>
      <c r="D33" s="2">
        <v>650</v>
      </c>
      <c r="E33" s="2">
        <v>12404</v>
      </c>
      <c r="F33" s="2">
        <v>1927</v>
      </c>
      <c r="G33" s="2">
        <v>14981</v>
      </c>
    </row>
    <row r="34" spans="1:7" ht="17" x14ac:dyDescent="0.2">
      <c r="A34" s="24">
        <v>45444</v>
      </c>
      <c r="B34" s="1" t="s">
        <v>7</v>
      </c>
      <c r="C34" s="2">
        <v>0</v>
      </c>
      <c r="D34" s="2">
        <v>650</v>
      </c>
      <c r="E34" s="2">
        <v>12472</v>
      </c>
      <c r="F34" s="2">
        <v>1928</v>
      </c>
      <c r="G34" s="2">
        <v>15050</v>
      </c>
    </row>
    <row r="35" spans="1:7" ht="17" x14ac:dyDescent="0.2">
      <c r="A35" s="24">
        <v>45474</v>
      </c>
      <c r="B35" s="1" t="s">
        <v>7</v>
      </c>
      <c r="C35" s="2">
        <v>0</v>
      </c>
      <c r="D35" s="2">
        <v>650</v>
      </c>
      <c r="E35" s="2">
        <v>12443</v>
      </c>
      <c r="F35" s="2">
        <v>1924</v>
      </c>
      <c r="G35" s="2">
        <v>15017</v>
      </c>
    </row>
    <row r="36" spans="1:7" ht="17" x14ac:dyDescent="0.2">
      <c r="A36" s="24">
        <v>45505</v>
      </c>
      <c r="B36" s="1" t="s">
        <v>7</v>
      </c>
      <c r="C36" s="2">
        <v>0</v>
      </c>
      <c r="D36" s="2">
        <v>650</v>
      </c>
      <c r="E36" s="2">
        <v>12378</v>
      </c>
      <c r="F36" s="2">
        <v>1925</v>
      </c>
      <c r="G36" s="2">
        <v>14953</v>
      </c>
    </row>
    <row r="37" spans="1:7" ht="17" x14ac:dyDescent="0.2">
      <c r="A37" s="24">
        <v>45536</v>
      </c>
      <c r="B37" s="1" t="s">
        <v>7</v>
      </c>
      <c r="C37" s="2">
        <v>0</v>
      </c>
      <c r="D37" s="2">
        <v>650</v>
      </c>
      <c r="E37" s="2">
        <v>12632</v>
      </c>
      <c r="F37" s="2">
        <v>1900</v>
      </c>
      <c r="G37" s="2">
        <v>15182</v>
      </c>
    </row>
    <row r="38" spans="1:7" ht="17" x14ac:dyDescent="0.2">
      <c r="A38" s="24">
        <v>45566</v>
      </c>
      <c r="B38" s="1" t="s">
        <v>7</v>
      </c>
      <c r="C38" s="2">
        <v>0</v>
      </c>
      <c r="D38" s="2">
        <v>650</v>
      </c>
      <c r="E38" s="2">
        <v>12596</v>
      </c>
      <c r="F38" s="2">
        <v>1901</v>
      </c>
      <c r="G38" s="2">
        <v>15147</v>
      </c>
    </row>
    <row r="39" spans="1:7" ht="17" x14ac:dyDescent="0.2">
      <c r="A39" s="24">
        <v>45597</v>
      </c>
      <c r="B39" s="1" t="s">
        <v>7</v>
      </c>
      <c r="C39" s="2">
        <v>0</v>
      </c>
      <c r="D39" s="2">
        <v>615</v>
      </c>
      <c r="E39" s="2">
        <v>12596</v>
      </c>
      <c r="F39" s="2">
        <v>1877</v>
      </c>
      <c r="G39" s="2">
        <v>15088</v>
      </c>
    </row>
    <row r="40" spans="1:7" ht="18" thickBot="1" x14ac:dyDescent="0.25">
      <c r="A40" s="24">
        <v>45627</v>
      </c>
      <c r="B40" s="26" t="s">
        <v>7</v>
      </c>
      <c r="C40" s="27">
        <v>0</v>
      </c>
      <c r="D40" s="27">
        <v>705</v>
      </c>
      <c r="E40" s="27">
        <v>12596</v>
      </c>
      <c r="F40" s="27">
        <v>1869</v>
      </c>
      <c r="G40" s="27">
        <v>15170</v>
      </c>
    </row>
    <row r="41" spans="1:7" ht="18" thickBot="1" x14ac:dyDescent="0.25">
      <c r="A41" s="35" t="s">
        <v>11</v>
      </c>
      <c r="B41" s="37" t="s">
        <v>7</v>
      </c>
      <c r="C41" s="36">
        <v>0</v>
      </c>
      <c r="D41" s="33">
        <f t="shared" ref="D41:G41" si="2">AVERAGE(D29:D40)</f>
        <v>651.66666666666663</v>
      </c>
      <c r="E41" s="33">
        <f t="shared" si="2"/>
        <v>12528.666666666666</v>
      </c>
      <c r="F41" s="33">
        <f t="shared" si="2"/>
        <v>1907.25</v>
      </c>
      <c r="G41" s="34">
        <f t="shared" si="2"/>
        <v>15087.583333333334</v>
      </c>
    </row>
  </sheetData>
  <mergeCells count="4">
    <mergeCell ref="B1:B2"/>
    <mergeCell ref="C1:F1"/>
    <mergeCell ref="G1:G2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EC2A-3FB4-3149-97C2-69DAF0371E71}">
  <dimension ref="A1:O37"/>
  <sheetViews>
    <sheetView workbookViewId="0">
      <selection activeCell="C8" sqref="C8"/>
    </sheetView>
  </sheetViews>
  <sheetFormatPr baseColWidth="10" defaultRowHeight="16" x14ac:dyDescent="0.2"/>
  <cols>
    <col min="1" max="1" width="11" bestFit="1" customWidth="1"/>
    <col min="3" max="4" width="13.6640625" bestFit="1" customWidth="1"/>
    <col min="5" max="5" width="19" bestFit="1" customWidth="1"/>
    <col min="6" max="6" width="17" bestFit="1" customWidth="1"/>
    <col min="8" max="8" width="11.83203125" bestFit="1" customWidth="1"/>
    <col min="9" max="9" width="11" bestFit="1" customWidth="1"/>
    <col min="10" max="10" width="17.1640625" bestFit="1" customWidth="1"/>
    <col min="11" max="11" width="14.5" bestFit="1" customWidth="1"/>
    <col min="12" max="13" width="13.1640625" bestFit="1" customWidth="1"/>
    <col min="14" max="14" width="18.5" bestFit="1" customWidth="1"/>
    <col min="15" max="15" width="15.83203125" bestFit="1" customWidth="1"/>
  </cols>
  <sheetData>
    <row r="1" spans="1:15" x14ac:dyDescent="0.2">
      <c r="A1" s="45" t="s">
        <v>13</v>
      </c>
      <c r="B1" s="51" t="s">
        <v>12</v>
      </c>
      <c r="C1" s="50" t="s">
        <v>870</v>
      </c>
      <c r="D1" s="50" t="s">
        <v>871</v>
      </c>
      <c r="E1" s="50" t="s">
        <v>872</v>
      </c>
      <c r="F1" s="50" t="s">
        <v>873</v>
      </c>
      <c r="G1" s="50"/>
      <c r="H1" s="50" t="s">
        <v>874</v>
      </c>
      <c r="I1" s="50" t="s">
        <v>875</v>
      </c>
      <c r="J1" s="50" t="s">
        <v>876</v>
      </c>
      <c r="K1" s="50" t="s">
        <v>877</v>
      </c>
      <c r="L1" s="50" t="s">
        <v>878</v>
      </c>
      <c r="M1" s="50" t="s">
        <v>879</v>
      </c>
      <c r="N1" s="50" t="s">
        <v>880</v>
      </c>
      <c r="O1" s="50" t="s">
        <v>881</v>
      </c>
    </row>
    <row r="2" spans="1:15" x14ac:dyDescent="0.2">
      <c r="A2" s="9">
        <v>44562</v>
      </c>
      <c r="B2" s="13" t="s">
        <v>7</v>
      </c>
      <c r="C2" s="10">
        <v>25</v>
      </c>
      <c r="D2" s="10">
        <v>0</v>
      </c>
      <c r="E2" s="10">
        <v>620</v>
      </c>
      <c r="F2" s="10">
        <v>645</v>
      </c>
      <c r="G2" s="11"/>
      <c r="H2" s="10">
        <v>13</v>
      </c>
      <c r="I2" s="10">
        <v>0</v>
      </c>
      <c r="J2" s="10">
        <v>424</v>
      </c>
      <c r="K2" s="10">
        <v>437</v>
      </c>
      <c r="L2" s="12">
        <v>21753.030000000002</v>
      </c>
      <c r="M2" s="12">
        <v>0</v>
      </c>
      <c r="N2" s="12">
        <v>529777.00749999995</v>
      </c>
      <c r="O2" s="12">
        <v>551530.03749999998</v>
      </c>
    </row>
    <row r="3" spans="1:15" x14ac:dyDescent="0.2">
      <c r="A3" s="9">
        <v>44593</v>
      </c>
      <c r="B3" s="13" t="s">
        <v>7</v>
      </c>
      <c r="C3" s="10">
        <v>24</v>
      </c>
      <c r="D3" s="10">
        <v>0</v>
      </c>
      <c r="E3" s="10">
        <v>619</v>
      </c>
      <c r="F3" s="10">
        <v>643</v>
      </c>
      <c r="G3" s="11"/>
      <c r="H3" s="10">
        <v>14</v>
      </c>
      <c r="I3" s="10">
        <v>0</v>
      </c>
      <c r="J3" s="10">
        <v>427</v>
      </c>
      <c r="K3" s="10">
        <v>441</v>
      </c>
      <c r="L3" s="12">
        <v>24291.51833333333</v>
      </c>
      <c r="M3" s="12">
        <v>0</v>
      </c>
      <c r="N3" s="12">
        <v>543018.43916666659</v>
      </c>
      <c r="O3" s="12">
        <v>567309.95750000002</v>
      </c>
    </row>
    <row r="4" spans="1:15" x14ac:dyDescent="0.2">
      <c r="A4" s="9">
        <v>44621</v>
      </c>
      <c r="B4" s="13" t="s">
        <v>7</v>
      </c>
      <c r="C4" s="10">
        <v>23</v>
      </c>
      <c r="D4" s="10">
        <v>0</v>
      </c>
      <c r="E4" s="10">
        <v>653</v>
      </c>
      <c r="F4" s="10">
        <v>676</v>
      </c>
      <c r="G4" s="11"/>
      <c r="H4" s="10">
        <v>13</v>
      </c>
      <c r="I4" s="10">
        <v>0</v>
      </c>
      <c r="J4" s="10">
        <v>460</v>
      </c>
      <c r="K4" s="10">
        <v>473</v>
      </c>
      <c r="L4" s="12">
        <v>26404.646666666667</v>
      </c>
      <c r="M4" s="12">
        <v>0</v>
      </c>
      <c r="N4" s="12">
        <v>576741.28416666656</v>
      </c>
      <c r="O4" s="12">
        <v>603145.93083333329</v>
      </c>
    </row>
    <row r="5" spans="1:15" x14ac:dyDescent="0.2">
      <c r="A5" s="9">
        <v>44652</v>
      </c>
      <c r="B5" s="13" t="s">
        <v>7</v>
      </c>
      <c r="C5" s="10">
        <v>20</v>
      </c>
      <c r="D5" s="10">
        <v>0</v>
      </c>
      <c r="E5" s="10">
        <v>661</v>
      </c>
      <c r="F5" s="10">
        <v>681</v>
      </c>
      <c r="G5" s="11"/>
      <c r="H5" s="10">
        <v>13</v>
      </c>
      <c r="I5" s="10">
        <v>0</v>
      </c>
      <c r="J5" s="10">
        <v>465</v>
      </c>
      <c r="K5" s="10">
        <v>478</v>
      </c>
      <c r="L5" s="12">
        <v>19617.13</v>
      </c>
      <c r="M5" s="12">
        <v>0</v>
      </c>
      <c r="N5" s="12">
        <v>582747.0675</v>
      </c>
      <c r="O5" s="12">
        <v>602364.19750000001</v>
      </c>
    </row>
    <row r="6" spans="1:15" x14ac:dyDescent="0.2">
      <c r="A6" s="9">
        <v>44682</v>
      </c>
      <c r="B6" s="13" t="s">
        <v>7</v>
      </c>
      <c r="C6" s="10">
        <v>24</v>
      </c>
      <c r="D6" s="10">
        <v>0</v>
      </c>
      <c r="E6" s="10">
        <v>697</v>
      </c>
      <c r="F6" s="10">
        <v>721</v>
      </c>
      <c r="G6" s="11"/>
      <c r="H6" s="10">
        <v>12</v>
      </c>
      <c r="I6" s="10">
        <v>0</v>
      </c>
      <c r="J6" s="10">
        <v>494</v>
      </c>
      <c r="K6" s="10">
        <v>506</v>
      </c>
      <c r="L6" s="12">
        <v>25511.384166666667</v>
      </c>
      <c r="M6" s="12">
        <v>0</v>
      </c>
      <c r="N6" s="12">
        <v>651294.34500000009</v>
      </c>
      <c r="O6" s="12">
        <v>676805.72916666663</v>
      </c>
    </row>
    <row r="7" spans="1:15" x14ac:dyDescent="0.2">
      <c r="A7" s="9">
        <v>44713</v>
      </c>
      <c r="B7" s="13" t="s">
        <v>7</v>
      </c>
      <c r="C7" s="10">
        <v>28</v>
      </c>
      <c r="D7" s="10">
        <v>0</v>
      </c>
      <c r="E7" s="10">
        <v>756</v>
      </c>
      <c r="F7" s="10">
        <v>784</v>
      </c>
      <c r="G7" s="11"/>
      <c r="H7" s="10">
        <v>15</v>
      </c>
      <c r="I7" s="10">
        <v>0</v>
      </c>
      <c r="J7" s="10">
        <v>531</v>
      </c>
      <c r="K7" s="10">
        <v>546</v>
      </c>
      <c r="L7" s="12">
        <v>27632.8325</v>
      </c>
      <c r="M7" s="12">
        <v>0</v>
      </c>
      <c r="N7" s="12">
        <v>777077.35083333345</v>
      </c>
      <c r="O7" s="12">
        <v>804710.18333333347</v>
      </c>
    </row>
    <row r="8" spans="1:15" x14ac:dyDescent="0.2">
      <c r="A8" s="9">
        <v>44743</v>
      </c>
      <c r="B8" s="13" t="s">
        <v>7</v>
      </c>
      <c r="C8" s="10">
        <v>29</v>
      </c>
      <c r="D8" s="10">
        <v>0</v>
      </c>
      <c r="E8" s="10">
        <v>788</v>
      </c>
      <c r="F8" s="10">
        <v>817</v>
      </c>
      <c r="G8" s="11"/>
      <c r="H8" s="10">
        <v>18</v>
      </c>
      <c r="I8" s="10">
        <v>0</v>
      </c>
      <c r="J8" s="10">
        <v>545</v>
      </c>
      <c r="K8" s="10">
        <v>563</v>
      </c>
      <c r="L8" s="12">
        <v>37008.638299999999</v>
      </c>
      <c r="M8" s="12">
        <v>0</v>
      </c>
      <c r="N8" s="12">
        <v>984523.973</v>
      </c>
      <c r="O8" s="12">
        <v>1021532.6113</v>
      </c>
    </row>
    <row r="9" spans="1:15" x14ac:dyDescent="0.2">
      <c r="A9" s="9">
        <v>44774</v>
      </c>
      <c r="B9" s="13" t="s">
        <v>7</v>
      </c>
      <c r="C9" s="10">
        <v>35</v>
      </c>
      <c r="D9" s="10">
        <v>0</v>
      </c>
      <c r="E9" s="10">
        <v>811</v>
      </c>
      <c r="F9" s="10">
        <v>846</v>
      </c>
      <c r="G9" s="11"/>
      <c r="H9" s="10">
        <v>21</v>
      </c>
      <c r="I9" s="10">
        <v>0</v>
      </c>
      <c r="J9" s="10">
        <v>563</v>
      </c>
      <c r="K9" s="10">
        <v>584</v>
      </c>
      <c r="L9" s="12">
        <v>48742.785000000003</v>
      </c>
      <c r="M9" s="12">
        <v>0</v>
      </c>
      <c r="N9" s="12">
        <v>1045337.48</v>
      </c>
      <c r="O9" s="12">
        <v>1094080.2649999999</v>
      </c>
    </row>
    <row r="10" spans="1:15" x14ac:dyDescent="0.2">
      <c r="A10" s="9">
        <v>44805</v>
      </c>
      <c r="B10" s="13" t="s">
        <v>7</v>
      </c>
      <c r="C10" s="10">
        <v>35</v>
      </c>
      <c r="D10" s="10">
        <v>0</v>
      </c>
      <c r="E10" s="10">
        <v>825</v>
      </c>
      <c r="F10" s="10">
        <v>860</v>
      </c>
      <c r="G10" s="11"/>
      <c r="H10" s="10">
        <v>22</v>
      </c>
      <c r="I10" s="10">
        <v>0</v>
      </c>
      <c r="J10" s="10">
        <v>565</v>
      </c>
      <c r="K10" s="10">
        <v>587</v>
      </c>
      <c r="L10" s="12">
        <v>49164.120931474994</v>
      </c>
      <c r="M10" s="12">
        <v>0</v>
      </c>
      <c r="N10" s="12">
        <v>1034139.607396235</v>
      </c>
      <c r="O10" s="12">
        <v>1083303.7283277099</v>
      </c>
    </row>
    <row r="11" spans="1:15" x14ac:dyDescent="0.2">
      <c r="A11" s="9">
        <v>44835</v>
      </c>
      <c r="B11" s="13" t="s">
        <v>7</v>
      </c>
      <c r="C11" s="10">
        <v>41</v>
      </c>
      <c r="D11" s="10">
        <v>0</v>
      </c>
      <c r="E11" s="10">
        <v>920</v>
      </c>
      <c r="F11" s="10">
        <v>961</v>
      </c>
      <c r="G11" s="11"/>
      <c r="H11" s="10">
        <v>26</v>
      </c>
      <c r="I11" s="10">
        <v>0</v>
      </c>
      <c r="J11" s="10">
        <v>639</v>
      </c>
      <c r="K11" s="10">
        <v>665</v>
      </c>
      <c r="L11" s="12">
        <v>55261.136700000003</v>
      </c>
      <c r="M11" s="12">
        <v>0</v>
      </c>
      <c r="N11" s="12">
        <v>1035888.95</v>
      </c>
      <c r="O11" s="12">
        <v>1091150.0866999999</v>
      </c>
    </row>
    <row r="12" spans="1:15" x14ac:dyDescent="0.2">
      <c r="A12" s="9">
        <v>44866</v>
      </c>
      <c r="B12" s="13" t="s">
        <v>7</v>
      </c>
      <c r="C12" s="10">
        <v>53</v>
      </c>
      <c r="D12" s="10">
        <v>0</v>
      </c>
      <c r="E12" s="10">
        <v>948</v>
      </c>
      <c r="F12" s="10">
        <v>1001</v>
      </c>
      <c r="G12" s="11"/>
      <c r="H12" s="10">
        <v>30</v>
      </c>
      <c r="I12" s="10">
        <v>0</v>
      </c>
      <c r="J12" s="10">
        <v>655</v>
      </c>
      <c r="K12" s="10">
        <v>685</v>
      </c>
      <c r="L12" s="12">
        <v>66628.282500000001</v>
      </c>
      <c r="M12" s="12">
        <v>0</v>
      </c>
      <c r="N12" s="12">
        <v>1098859.6599999999</v>
      </c>
      <c r="O12" s="12">
        <v>1165487.9424999999</v>
      </c>
    </row>
    <row r="13" spans="1:15" x14ac:dyDescent="0.2">
      <c r="A13" s="9">
        <v>44896</v>
      </c>
      <c r="B13" s="14" t="s">
        <v>7</v>
      </c>
      <c r="C13" s="15">
        <v>55</v>
      </c>
      <c r="D13" s="15">
        <v>0</v>
      </c>
      <c r="E13" s="15">
        <v>958</v>
      </c>
      <c r="F13" s="15">
        <v>1013</v>
      </c>
      <c r="G13" s="16"/>
      <c r="H13" s="15">
        <v>31</v>
      </c>
      <c r="I13" s="15">
        <v>0</v>
      </c>
      <c r="J13" s="15">
        <v>668</v>
      </c>
      <c r="K13" s="15">
        <v>699</v>
      </c>
      <c r="L13" s="17">
        <v>77479.48</v>
      </c>
      <c r="M13" s="17">
        <v>0</v>
      </c>
      <c r="N13" s="17">
        <v>1119764.72</v>
      </c>
      <c r="O13" s="17">
        <v>1197244.2</v>
      </c>
    </row>
    <row r="14" spans="1:15" x14ac:dyDescent="0.2">
      <c r="A14" s="9">
        <v>44927</v>
      </c>
      <c r="B14" s="18" t="s">
        <v>7</v>
      </c>
      <c r="C14" s="19">
        <v>60</v>
      </c>
      <c r="D14" s="19">
        <v>9</v>
      </c>
      <c r="E14" s="19">
        <v>1006</v>
      </c>
      <c r="F14" s="19">
        <v>1075</v>
      </c>
      <c r="G14" s="20"/>
      <c r="H14" s="19">
        <v>36</v>
      </c>
      <c r="I14" s="19">
        <v>2</v>
      </c>
      <c r="J14" s="19">
        <v>708</v>
      </c>
      <c r="K14" s="19">
        <v>746</v>
      </c>
      <c r="L14" s="21">
        <v>80916.495999999999</v>
      </c>
      <c r="M14" s="21">
        <v>4007.2</v>
      </c>
      <c r="N14" s="21">
        <v>1199911.628</v>
      </c>
      <c r="O14" s="21">
        <v>1284835.324</v>
      </c>
    </row>
    <row r="15" spans="1:15" x14ac:dyDescent="0.2">
      <c r="A15" s="9">
        <v>44958</v>
      </c>
      <c r="B15" s="13" t="s">
        <v>7</v>
      </c>
      <c r="C15" s="10">
        <v>58</v>
      </c>
      <c r="D15" s="10">
        <v>8</v>
      </c>
      <c r="E15" s="10">
        <v>997</v>
      </c>
      <c r="F15" s="10">
        <v>1063</v>
      </c>
      <c r="G15" s="11"/>
      <c r="H15" s="10">
        <v>37</v>
      </c>
      <c r="I15" s="10">
        <v>2</v>
      </c>
      <c r="J15" s="10">
        <v>706</v>
      </c>
      <c r="K15" s="10">
        <v>745</v>
      </c>
      <c r="L15" s="12">
        <v>75892.52</v>
      </c>
      <c r="M15" s="12">
        <v>5755.4</v>
      </c>
      <c r="N15" s="12">
        <v>1086774.71</v>
      </c>
      <c r="O15" s="12">
        <v>1168422.6299999999</v>
      </c>
    </row>
    <row r="16" spans="1:15" x14ac:dyDescent="0.2">
      <c r="A16" s="9">
        <v>44986</v>
      </c>
      <c r="B16" s="13" t="s">
        <v>7</v>
      </c>
      <c r="C16" s="10">
        <v>67</v>
      </c>
      <c r="D16" s="10">
        <v>5</v>
      </c>
      <c r="E16" s="10">
        <v>1029</v>
      </c>
      <c r="F16" s="10">
        <v>1101</v>
      </c>
      <c r="G16" s="11"/>
      <c r="H16" s="10">
        <v>42</v>
      </c>
      <c r="I16" s="10">
        <v>2</v>
      </c>
      <c r="J16" s="10">
        <v>725</v>
      </c>
      <c r="K16" s="10">
        <v>769</v>
      </c>
      <c r="L16" s="12">
        <v>99999.74</v>
      </c>
      <c r="M16" s="12">
        <v>6260.6</v>
      </c>
      <c r="N16" s="12">
        <v>1274943.6540000001</v>
      </c>
      <c r="O16" s="12">
        <v>1381203.9940000002</v>
      </c>
    </row>
    <row r="17" spans="1:15" x14ac:dyDescent="0.2">
      <c r="A17" s="9">
        <v>45017</v>
      </c>
      <c r="B17" s="13" t="s">
        <v>7</v>
      </c>
      <c r="C17" s="10">
        <v>73</v>
      </c>
      <c r="D17" s="10">
        <v>9</v>
      </c>
      <c r="E17" s="10">
        <v>1058</v>
      </c>
      <c r="F17" s="10">
        <v>1140</v>
      </c>
      <c r="G17" s="11"/>
      <c r="H17" s="10">
        <v>47</v>
      </c>
      <c r="I17" s="10">
        <v>2</v>
      </c>
      <c r="J17" s="10">
        <v>746</v>
      </c>
      <c r="K17" s="10">
        <v>795</v>
      </c>
      <c r="L17" s="12">
        <v>99045.28</v>
      </c>
      <c r="M17" s="12">
        <v>7520</v>
      </c>
      <c r="N17" s="12">
        <v>1173806.93</v>
      </c>
      <c r="O17" s="12">
        <v>1280372.21</v>
      </c>
    </row>
    <row r="18" spans="1:15" x14ac:dyDescent="0.2">
      <c r="A18" s="9">
        <v>45047</v>
      </c>
      <c r="B18" s="13" t="s">
        <v>7</v>
      </c>
      <c r="C18" s="10">
        <v>79</v>
      </c>
      <c r="D18" s="10">
        <v>5</v>
      </c>
      <c r="E18" s="10">
        <v>1052</v>
      </c>
      <c r="F18" s="10">
        <v>1136</v>
      </c>
      <c r="G18" s="11"/>
      <c r="H18" s="10">
        <v>51</v>
      </c>
      <c r="I18" s="10">
        <v>2</v>
      </c>
      <c r="J18" s="10">
        <v>752</v>
      </c>
      <c r="K18" s="10">
        <v>805</v>
      </c>
      <c r="L18" s="12">
        <v>118955.58</v>
      </c>
      <c r="M18" s="12">
        <v>6260.6</v>
      </c>
      <c r="N18" s="12">
        <v>1343605.33</v>
      </c>
      <c r="O18" s="12">
        <v>1468821.51</v>
      </c>
    </row>
    <row r="19" spans="1:15" x14ac:dyDescent="0.2">
      <c r="A19" s="9">
        <v>45078</v>
      </c>
      <c r="B19" s="13" t="s">
        <v>7</v>
      </c>
      <c r="C19" s="10">
        <v>77</v>
      </c>
      <c r="D19" s="10">
        <v>5</v>
      </c>
      <c r="E19" s="10">
        <v>1157</v>
      </c>
      <c r="F19" s="10">
        <v>1239</v>
      </c>
      <c r="G19" s="11"/>
      <c r="H19" s="10">
        <v>51</v>
      </c>
      <c r="I19" s="10">
        <v>2</v>
      </c>
      <c r="J19" s="10">
        <v>834</v>
      </c>
      <c r="K19" s="10">
        <v>887</v>
      </c>
      <c r="L19" s="12">
        <v>118521.84</v>
      </c>
      <c r="M19" s="12">
        <v>7734</v>
      </c>
      <c r="N19" s="12">
        <v>1486179.95</v>
      </c>
      <c r="O19" s="12">
        <v>1612435.79</v>
      </c>
    </row>
    <row r="20" spans="1:15" x14ac:dyDescent="0.2">
      <c r="A20" s="9">
        <v>45108</v>
      </c>
      <c r="B20" s="13" t="s">
        <v>7</v>
      </c>
      <c r="C20" s="10">
        <v>73</v>
      </c>
      <c r="D20" s="10">
        <v>5</v>
      </c>
      <c r="E20" s="10">
        <v>1200</v>
      </c>
      <c r="F20" s="10">
        <v>1278</v>
      </c>
      <c r="G20" s="11"/>
      <c r="H20" s="10">
        <v>49</v>
      </c>
      <c r="I20" s="10">
        <v>2</v>
      </c>
      <c r="J20" s="10">
        <v>853</v>
      </c>
      <c r="K20" s="10">
        <v>904</v>
      </c>
      <c r="L20" s="12">
        <v>106547.33</v>
      </c>
      <c r="M20" s="12">
        <v>7504.64</v>
      </c>
      <c r="N20" s="12">
        <v>1569642.34</v>
      </c>
      <c r="O20" s="12">
        <v>1683694.31</v>
      </c>
    </row>
    <row r="21" spans="1:15" x14ac:dyDescent="0.2">
      <c r="A21" s="9">
        <v>45139</v>
      </c>
      <c r="B21" s="13" t="s">
        <v>7</v>
      </c>
      <c r="C21" s="10">
        <v>69</v>
      </c>
      <c r="D21" s="10">
        <v>5</v>
      </c>
      <c r="E21" s="10">
        <v>1327</v>
      </c>
      <c r="F21" s="10">
        <v>1401</v>
      </c>
      <c r="G21" s="11"/>
      <c r="H21" s="10">
        <v>47</v>
      </c>
      <c r="I21" s="10">
        <v>2</v>
      </c>
      <c r="J21" s="10">
        <v>953</v>
      </c>
      <c r="K21" s="10">
        <v>1002</v>
      </c>
      <c r="L21" s="12">
        <v>103223.28</v>
      </c>
      <c r="M21" s="12">
        <v>7963.38</v>
      </c>
      <c r="N21" s="12">
        <v>1517785.44</v>
      </c>
      <c r="O21" s="12">
        <v>1628972.0999999999</v>
      </c>
    </row>
    <row r="22" spans="1:15" x14ac:dyDescent="0.2">
      <c r="A22" s="9">
        <v>45170</v>
      </c>
      <c r="B22" s="13" t="s">
        <v>7</v>
      </c>
      <c r="C22" s="10">
        <v>68</v>
      </c>
      <c r="D22" s="10">
        <v>5</v>
      </c>
      <c r="E22" s="10">
        <v>1274</v>
      </c>
      <c r="F22" s="10">
        <v>1347</v>
      </c>
      <c r="G22" s="11"/>
      <c r="H22" s="10">
        <v>45</v>
      </c>
      <c r="I22" s="10">
        <v>1</v>
      </c>
      <c r="J22" s="10">
        <v>900</v>
      </c>
      <c r="K22" s="10">
        <v>946</v>
      </c>
      <c r="L22" s="12">
        <v>87444.479999999996</v>
      </c>
      <c r="M22" s="12">
        <v>3796</v>
      </c>
      <c r="N22" s="12">
        <v>1451199.42</v>
      </c>
      <c r="O22" s="12">
        <v>1542439.9</v>
      </c>
    </row>
    <row r="23" spans="1:15" x14ac:dyDescent="0.2">
      <c r="A23" s="9">
        <v>45200</v>
      </c>
      <c r="B23" s="13" t="s">
        <v>7</v>
      </c>
      <c r="C23" s="10">
        <v>68</v>
      </c>
      <c r="D23" s="10">
        <v>5</v>
      </c>
      <c r="E23" s="10">
        <v>1302</v>
      </c>
      <c r="F23" s="10">
        <v>1375</v>
      </c>
      <c r="G23" s="11"/>
      <c r="H23" s="10">
        <v>44</v>
      </c>
      <c r="I23" s="10">
        <v>1</v>
      </c>
      <c r="J23" s="10">
        <v>920</v>
      </c>
      <c r="K23" s="10">
        <v>965</v>
      </c>
      <c r="L23" s="12">
        <v>82469.16</v>
      </c>
      <c r="M23" s="12">
        <v>4862</v>
      </c>
      <c r="N23" s="12">
        <v>1551799.59</v>
      </c>
      <c r="O23" s="12">
        <v>1639130.75</v>
      </c>
    </row>
    <row r="24" spans="1:15" x14ac:dyDescent="0.2">
      <c r="A24" s="9">
        <v>45231</v>
      </c>
      <c r="B24" s="13" t="s">
        <v>7</v>
      </c>
      <c r="C24" s="10">
        <v>64</v>
      </c>
      <c r="D24" s="10">
        <v>5</v>
      </c>
      <c r="E24" s="10">
        <v>1300</v>
      </c>
      <c r="F24" s="10">
        <v>1369</v>
      </c>
      <c r="G24" s="11"/>
      <c r="H24" s="10">
        <v>41</v>
      </c>
      <c r="I24" s="10">
        <v>1</v>
      </c>
      <c r="J24" s="10">
        <v>917</v>
      </c>
      <c r="K24" s="10">
        <v>959</v>
      </c>
      <c r="L24" s="12">
        <v>85470.88</v>
      </c>
      <c r="M24" s="12">
        <v>5326.56</v>
      </c>
      <c r="N24" s="12">
        <v>1598988.56</v>
      </c>
      <c r="O24" s="12">
        <v>1689786</v>
      </c>
    </row>
    <row r="25" spans="1:15" x14ac:dyDescent="0.2">
      <c r="A25" s="9">
        <v>45261</v>
      </c>
      <c r="B25" s="13" t="s">
        <v>7</v>
      </c>
      <c r="C25" s="10">
        <v>62</v>
      </c>
      <c r="D25" s="10">
        <v>7</v>
      </c>
      <c r="E25" s="10">
        <v>1316</v>
      </c>
      <c r="F25" s="10">
        <v>1385</v>
      </c>
      <c r="G25" s="11"/>
      <c r="H25" s="10">
        <v>38</v>
      </c>
      <c r="I25" s="10">
        <v>3</v>
      </c>
      <c r="J25" s="10">
        <v>931</v>
      </c>
      <c r="K25" s="10">
        <v>972</v>
      </c>
      <c r="L25" s="12">
        <v>77854.09</v>
      </c>
      <c r="M25" s="12">
        <v>6182.24</v>
      </c>
      <c r="N25" s="12">
        <v>1549342.84</v>
      </c>
      <c r="O25" s="12">
        <v>1633379.1700000002</v>
      </c>
    </row>
    <row r="26" spans="1:15" x14ac:dyDescent="0.2">
      <c r="A26" s="9">
        <v>45292</v>
      </c>
      <c r="B26" s="13" t="s">
        <v>7</v>
      </c>
      <c r="C26" s="10">
        <v>65</v>
      </c>
      <c r="D26" s="10">
        <v>2</v>
      </c>
      <c r="E26" s="10">
        <v>1388</v>
      </c>
      <c r="F26" s="10">
        <v>1455</v>
      </c>
      <c r="G26" s="11"/>
      <c r="H26" s="10">
        <v>41</v>
      </c>
      <c r="I26" s="10">
        <v>2</v>
      </c>
      <c r="J26" s="10">
        <v>970</v>
      </c>
      <c r="K26" s="10">
        <v>1013</v>
      </c>
      <c r="L26" s="12">
        <v>83324.7</v>
      </c>
      <c r="M26" s="12">
        <v>4525.96</v>
      </c>
      <c r="N26" s="12">
        <v>1738734.32</v>
      </c>
      <c r="O26" s="12">
        <v>1826584.98</v>
      </c>
    </row>
    <row r="27" spans="1:15" x14ac:dyDescent="0.2">
      <c r="A27" s="9">
        <v>45323</v>
      </c>
      <c r="B27" s="13" t="s">
        <v>7</v>
      </c>
      <c r="C27" s="10">
        <v>69</v>
      </c>
      <c r="D27" s="10">
        <v>3</v>
      </c>
      <c r="E27" s="10">
        <v>1414</v>
      </c>
      <c r="F27" s="10">
        <v>1486</v>
      </c>
      <c r="G27" s="11"/>
      <c r="H27" s="10">
        <v>44</v>
      </c>
      <c r="I27" s="10">
        <v>2</v>
      </c>
      <c r="J27" s="10">
        <v>995</v>
      </c>
      <c r="K27" s="10">
        <v>1041</v>
      </c>
      <c r="L27" s="12">
        <v>83681.440000000002</v>
      </c>
      <c r="M27" s="12">
        <v>3139.64</v>
      </c>
      <c r="N27" s="12">
        <v>1682079.7</v>
      </c>
      <c r="O27" s="12">
        <v>1768900.78</v>
      </c>
    </row>
    <row r="28" spans="1:15" x14ac:dyDescent="0.2">
      <c r="A28" s="9">
        <v>45352</v>
      </c>
      <c r="B28" s="13" t="s">
        <v>7</v>
      </c>
      <c r="C28" s="10">
        <v>65</v>
      </c>
      <c r="D28" s="10">
        <v>4</v>
      </c>
      <c r="E28" s="10">
        <v>1447</v>
      </c>
      <c r="F28" s="10">
        <v>1516</v>
      </c>
      <c r="G28" s="11"/>
      <c r="H28" s="10">
        <v>43</v>
      </c>
      <c r="I28" s="10">
        <v>3</v>
      </c>
      <c r="J28" s="10">
        <v>1013</v>
      </c>
      <c r="K28" s="10">
        <v>1059</v>
      </c>
      <c r="L28" s="12">
        <v>79468.399999999994</v>
      </c>
      <c r="M28" s="12">
        <v>3755.64</v>
      </c>
      <c r="N28" s="12">
        <v>1721648.77</v>
      </c>
      <c r="O28" s="12">
        <v>1804872.81</v>
      </c>
    </row>
    <row r="29" spans="1:15" x14ac:dyDescent="0.2">
      <c r="A29" s="9">
        <v>45383</v>
      </c>
      <c r="B29" s="13" t="s">
        <v>7</v>
      </c>
      <c r="C29" s="10">
        <v>65</v>
      </c>
      <c r="D29" s="10">
        <v>4</v>
      </c>
      <c r="E29" s="10">
        <v>1484</v>
      </c>
      <c r="F29" s="10">
        <v>1553</v>
      </c>
      <c r="G29" s="11"/>
      <c r="H29" s="10">
        <v>44</v>
      </c>
      <c r="I29" s="10">
        <v>3</v>
      </c>
      <c r="J29" s="10">
        <v>1038</v>
      </c>
      <c r="K29" s="10">
        <v>1085</v>
      </c>
      <c r="L29" s="12">
        <v>81097.119999999995</v>
      </c>
      <c r="M29" s="12">
        <v>3884.9</v>
      </c>
      <c r="N29" s="12">
        <v>1819154.37</v>
      </c>
      <c r="O29" s="12">
        <v>1904136.3900000001</v>
      </c>
    </row>
    <row r="30" spans="1:15" x14ac:dyDescent="0.2">
      <c r="A30" s="9">
        <v>45413</v>
      </c>
      <c r="B30" s="13" t="s">
        <v>7</v>
      </c>
      <c r="C30" s="10">
        <v>66</v>
      </c>
      <c r="D30" s="10">
        <v>5</v>
      </c>
      <c r="E30" s="10">
        <v>1446</v>
      </c>
      <c r="F30" s="10">
        <v>1517</v>
      </c>
      <c r="G30" s="11"/>
      <c r="H30" s="10">
        <v>46</v>
      </c>
      <c r="I30" s="10">
        <v>4</v>
      </c>
      <c r="J30" s="10">
        <v>995</v>
      </c>
      <c r="K30" s="10">
        <v>1045</v>
      </c>
      <c r="L30" s="12">
        <v>84238.7</v>
      </c>
      <c r="M30" s="12">
        <v>6161.36</v>
      </c>
      <c r="N30" s="12">
        <v>1896398.05</v>
      </c>
      <c r="O30" s="12">
        <v>1986798.11</v>
      </c>
    </row>
    <row r="31" spans="1:15" x14ac:dyDescent="0.2">
      <c r="A31" s="9">
        <v>45444</v>
      </c>
      <c r="B31" s="13" t="s">
        <v>7</v>
      </c>
      <c r="C31" s="10">
        <v>65</v>
      </c>
      <c r="D31" s="10">
        <v>8</v>
      </c>
      <c r="E31" s="10">
        <v>1535</v>
      </c>
      <c r="F31" s="10">
        <v>1608</v>
      </c>
      <c r="G31" s="11"/>
      <c r="H31" s="10">
        <v>46</v>
      </c>
      <c r="I31" s="10">
        <v>5</v>
      </c>
      <c r="J31" s="10">
        <v>1056</v>
      </c>
      <c r="K31" s="10">
        <v>1107</v>
      </c>
      <c r="L31" s="12">
        <v>86774.78</v>
      </c>
      <c r="M31" s="12">
        <v>6626.8</v>
      </c>
      <c r="N31" s="12">
        <v>1845615.62</v>
      </c>
      <c r="O31" s="12">
        <v>1939017.2000000002</v>
      </c>
    </row>
    <row r="32" spans="1:15" x14ac:dyDescent="0.2">
      <c r="A32" s="9">
        <v>45474</v>
      </c>
      <c r="B32" s="13" t="s">
        <v>7</v>
      </c>
      <c r="C32" s="10">
        <v>54</v>
      </c>
      <c r="D32" s="10">
        <v>6</v>
      </c>
      <c r="E32" s="10">
        <v>1605</v>
      </c>
      <c r="F32" s="10">
        <v>1665</v>
      </c>
      <c r="G32" s="11"/>
      <c r="H32" s="10">
        <v>39</v>
      </c>
      <c r="I32" s="10">
        <v>4</v>
      </c>
      <c r="J32" s="10">
        <v>1086</v>
      </c>
      <c r="K32" s="10">
        <v>1129</v>
      </c>
      <c r="L32" s="12">
        <v>78670.22</v>
      </c>
      <c r="M32" s="12">
        <v>7268.46</v>
      </c>
      <c r="N32" s="12">
        <v>2361148.6</v>
      </c>
      <c r="O32" s="12">
        <v>2447087.2800000003</v>
      </c>
    </row>
    <row r="33" spans="1:15" x14ac:dyDescent="0.2">
      <c r="A33" s="9">
        <v>45505</v>
      </c>
      <c r="B33" s="13" t="s">
        <v>7</v>
      </c>
      <c r="C33" s="10">
        <v>54</v>
      </c>
      <c r="D33" s="10">
        <v>5</v>
      </c>
      <c r="E33" s="10">
        <v>1673</v>
      </c>
      <c r="F33" s="10">
        <v>1732</v>
      </c>
      <c r="G33" s="11"/>
      <c r="H33" s="10">
        <v>36</v>
      </c>
      <c r="I33" s="10">
        <v>4</v>
      </c>
      <c r="J33" s="10">
        <v>1137</v>
      </c>
      <c r="K33" s="10">
        <v>1177</v>
      </c>
      <c r="L33" s="12">
        <v>69440.78</v>
      </c>
      <c r="M33" s="12">
        <v>4089.56</v>
      </c>
      <c r="N33" s="12">
        <v>2086959.41</v>
      </c>
      <c r="O33" s="12">
        <v>2160489.75</v>
      </c>
    </row>
    <row r="34" spans="1:15" x14ac:dyDescent="0.2">
      <c r="A34" s="9">
        <v>45536</v>
      </c>
      <c r="B34" s="13" t="s">
        <v>7</v>
      </c>
      <c r="C34" s="10">
        <v>56</v>
      </c>
      <c r="D34" s="10">
        <v>5</v>
      </c>
      <c r="E34" s="10">
        <v>1664</v>
      </c>
      <c r="F34" s="10">
        <v>1725</v>
      </c>
      <c r="G34" s="11"/>
      <c r="H34" s="10">
        <v>35</v>
      </c>
      <c r="I34" s="10">
        <v>3</v>
      </c>
      <c r="J34" s="10">
        <v>1132</v>
      </c>
      <c r="K34" s="10">
        <v>1170</v>
      </c>
      <c r="L34" s="12">
        <v>64506.3</v>
      </c>
      <c r="M34" s="12">
        <v>4648.0200000000004</v>
      </c>
      <c r="N34" s="12">
        <v>1959124.72</v>
      </c>
      <c r="O34" s="12">
        <v>2028279.04</v>
      </c>
    </row>
    <row r="35" spans="1:15" x14ac:dyDescent="0.2">
      <c r="A35" s="9">
        <v>45566</v>
      </c>
      <c r="B35" s="13" t="s">
        <v>7</v>
      </c>
      <c r="C35" s="10">
        <v>53</v>
      </c>
      <c r="D35" s="10">
        <v>5</v>
      </c>
      <c r="E35" s="10">
        <v>1667</v>
      </c>
      <c r="F35" s="10">
        <v>1725</v>
      </c>
      <c r="G35" s="11"/>
      <c r="H35" s="10">
        <v>31</v>
      </c>
      <c r="I35" s="10">
        <v>3</v>
      </c>
      <c r="J35" s="10">
        <v>1138</v>
      </c>
      <c r="K35" s="10">
        <v>1172</v>
      </c>
      <c r="L35" s="12">
        <v>67874.14</v>
      </c>
      <c r="M35" s="12">
        <v>3888.16</v>
      </c>
      <c r="N35" s="12">
        <v>2153464.9700000002</v>
      </c>
      <c r="O35" s="12">
        <v>2225227.27</v>
      </c>
    </row>
    <row r="36" spans="1:15" x14ac:dyDescent="0.2">
      <c r="A36" s="9">
        <v>45597</v>
      </c>
      <c r="B36" s="13" t="s">
        <v>7</v>
      </c>
      <c r="C36" s="10">
        <v>49</v>
      </c>
      <c r="D36" s="10">
        <v>8</v>
      </c>
      <c r="E36" s="10">
        <v>1652</v>
      </c>
      <c r="F36" s="10">
        <v>1709</v>
      </c>
      <c r="G36" s="11"/>
      <c r="H36" s="10">
        <v>31</v>
      </c>
      <c r="I36" s="10">
        <v>4</v>
      </c>
      <c r="J36" s="10">
        <v>1134</v>
      </c>
      <c r="K36" s="10">
        <v>1169</v>
      </c>
      <c r="L36" s="12">
        <v>59438.44</v>
      </c>
      <c r="M36" s="12">
        <v>12191.58</v>
      </c>
      <c r="N36" s="12">
        <v>2008266.91</v>
      </c>
      <c r="O36" s="12">
        <v>2079896.93</v>
      </c>
    </row>
    <row r="37" spans="1:15" x14ac:dyDescent="0.2">
      <c r="A37" s="9">
        <v>45627</v>
      </c>
      <c r="B37" s="13" t="s">
        <v>7</v>
      </c>
      <c r="C37" s="10">
        <v>52</v>
      </c>
      <c r="D37" s="10">
        <v>9</v>
      </c>
      <c r="E37" s="10">
        <v>1663</v>
      </c>
      <c r="F37" s="10">
        <v>1724</v>
      </c>
      <c r="G37" s="11"/>
      <c r="H37" s="10">
        <v>31</v>
      </c>
      <c r="I37" s="10">
        <v>5</v>
      </c>
      <c r="J37" s="10">
        <v>1140</v>
      </c>
      <c r="K37" s="10">
        <v>1176</v>
      </c>
      <c r="L37" s="12">
        <v>74942.240000000005</v>
      </c>
      <c r="M37" s="12">
        <v>10125.14</v>
      </c>
      <c r="N37" s="12">
        <v>2098570.09</v>
      </c>
      <c r="O37" s="12">
        <v>2183637.4699999997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8C8A-7215-F64D-B1AE-FF915D8AF77A}">
  <dimension ref="A1:P7"/>
  <sheetViews>
    <sheetView workbookViewId="0">
      <selection activeCell="E27" sqref="E27"/>
    </sheetView>
  </sheetViews>
  <sheetFormatPr baseColWidth="10" defaultRowHeight="16" x14ac:dyDescent="0.2"/>
  <cols>
    <col min="1" max="1" width="5.33203125" bestFit="1" customWidth="1"/>
    <col min="2" max="2" width="7.6640625" bestFit="1" customWidth="1"/>
    <col min="3" max="11" width="11.5" bestFit="1" customWidth="1"/>
    <col min="12" max="12" width="12.5" bestFit="1" customWidth="1"/>
    <col min="13" max="14" width="11.5" bestFit="1" customWidth="1"/>
    <col min="15" max="15" width="12.5" bestFit="1" customWidth="1"/>
    <col min="16" max="16" width="11.5" bestFit="1" customWidth="1"/>
  </cols>
  <sheetData>
    <row r="1" spans="1:16" x14ac:dyDescent="0.2">
      <c r="A1" s="41" t="s">
        <v>13</v>
      </c>
      <c r="B1" s="42" t="s">
        <v>12</v>
      </c>
      <c r="C1" s="41" t="s">
        <v>20</v>
      </c>
      <c r="D1" s="41" t="s">
        <v>21</v>
      </c>
      <c r="E1" s="41" t="s">
        <v>22</v>
      </c>
      <c r="F1" s="41" t="s">
        <v>23</v>
      </c>
      <c r="G1" s="41" t="s">
        <v>24</v>
      </c>
      <c r="H1" s="41" t="s">
        <v>25</v>
      </c>
      <c r="I1" s="41" t="s">
        <v>14</v>
      </c>
      <c r="J1" s="41" t="s">
        <v>15</v>
      </c>
      <c r="K1" s="41" t="s">
        <v>16</v>
      </c>
      <c r="L1" s="41" t="s">
        <v>17</v>
      </c>
      <c r="M1" s="41" t="s">
        <v>18</v>
      </c>
      <c r="N1" s="41" t="s">
        <v>19</v>
      </c>
      <c r="O1" s="43" t="s">
        <v>26</v>
      </c>
      <c r="P1" s="41" t="s">
        <v>27</v>
      </c>
    </row>
    <row r="2" spans="1:16" x14ac:dyDescent="0.2">
      <c r="A2" s="39">
        <v>2022</v>
      </c>
      <c r="B2" s="44" t="s">
        <v>7</v>
      </c>
      <c r="C2" s="40">
        <v>419592.26</v>
      </c>
      <c r="D2" s="40">
        <v>434099.55</v>
      </c>
      <c r="E2" s="40">
        <v>741861.54</v>
      </c>
      <c r="F2" s="40">
        <v>542143.39</v>
      </c>
      <c r="G2" s="40">
        <v>403637.45</v>
      </c>
      <c r="H2" s="40">
        <v>524261.31</v>
      </c>
      <c r="I2" s="40">
        <v>592599.9</v>
      </c>
      <c r="J2" s="40">
        <v>601030.37</v>
      </c>
      <c r="K2" s="40">
        <v>534168.68999999994</v>
      </c>
      <c r="L2" s="40">
        <v>541717.35</v>
      </c>
      <c r="M2" s="40">
        <v>537499.56000000006</v>
      </c>
      <c r="N2" s="40">
        <v>690936.37</v>
      </c>
      <c r="O2" s="40">
        <f>SUM(C2:N2)</f>
        <v>6563547.7400000012</v>
      </c>
      <c r="P2" s="46">
        <f>AVERAGE(C2:N2)</f>
        <v>546962.31166666676</v>
      </c>
    </row>
    <row r="3" spans="1:16" x14ac:dyDescent="0.2">
      <c r="A3" s="39">
        <v>2023</v>
      </c>
      <c r="B3" s="44" t="s">
        <v>7</v>
      </c>
      <c r="C3" s="40">
        <v>614322.4</v>
      </c>
      <c r="D3" s="40">
        <v>421623.37</v>
      </c>
      <c r="E3" s="40">
        <v>673288.72</v>
      </c>
      <c r="F3" s="40">
        <v>661320.39</v>
      </c>
      <c r="G3" s="40">
        <v>671756.33</v>
      </c>
      <c r="H3" s="40">
        <v>580790.15</v>
      </c>
      <c r="I3" s="40">
        <v>1157380.2</v>
      </c>
      <c r="J3" s="40">
        <v>1861083.96</v>
      </c>
      <c r="K3" s="40">
        <v>1228723.21</v>
      </c>
      <c r="L3" s="40">
        <v>1141357.05</v>
      </c>
      <c r="M3" s="40">
        <v>1266656.21</v>
      </c>
      <c r="N3" s="40">
        <v>1335469.57</v>
      </c>
      <c r="O3" s="40">
        <f t="shared" ref="O3:O4" si="0">SUM(C3:N3)</f>
        <v>11613771.559999999</v>
      </c>
      <c r="P3" s="46">
        <f t="shared" ref="P3:P4" si="1">AVERAGE(C3:N3)</f>
        <v>967814.29666666652</v>
      </c>
    </row>
    <row r="4" spans="1:16" x14ac:dyDescent="0.2">
      <c r="A4" s="39">
        <v>2024</v>
      </c>
      <c r="B4" s="44" t="s">
        <v>7</v>
      </c>
      <c r="C4" s="40">
        <v>2409081.92</v>
      </c>
      <c r="D4" s="40">
        <v>1246623.8799999999</v>
      </c>
      <c r="E4" s="40">
        <v>1307380.04</v>
      </c>
      <c r="F4" s="40">
        <v>1532758.51</v>
      </c>
      <c r="G4" s="40">
        <v>1671863.29</v>
      </c>
      <c r="H4" s="40">
        <v>1762720.66</v>
      </c>
      <c r="I4" s="40">
        <v>1505944.56</v>
      </c>
      <c r="J4" s="40">
        <v>2067028.51</v>
      </c>
      <c r="K4" s="40">
        <v>914702.71</v>
      </c>
      <c r="L4" s="40">
        <v>2497730.73</v>
      </c>
      <c r="M4" s="40">
        <v>1887320.31</v>
      </c>
      <c r="N4" s="40">
        <v>2399285.4900000002</v>
      </c>
      <c r="O4" s="40">
        <f t="shared" si="0"/>
        <v>21202440.609999999</v>
      </c>
      <c r="P4" s="46">
        <f t="shared" si="1"/>
        <v>1766870.0508333333</v>
      </c>
    </row>
    <row r="5" spans="1:16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7235-B654-464E-A5A8-D21535B784D3}">
  <dimension ref="A1:P5"/>
  <sheetViews>
    <sheetView workbookViewId="0">
      <selection activeCell="F25" sqref="F25"/>
    </sheetView>
  </sheetViews>
  <sheetFormatPr baseColWidth="10" defaultRowHeight="16" x14ac:dyDescent="0.2"/>
  <sheetData>
    <row r="1" spans="1:16" x14ac:dyDescent="0.2">
      <c r="A1" s="41" t="s">
        <v>13</v>
      </c>
      <c r="B1" s="42" t="s">
        <v>12</v>
      </c>
      <c r="C1" s="41" t="s">
        <v>20</v>
      </c>
      <c r="D1" s="41" t="s">
        <v>21</v>
      </c>
      <c r="E1" s="41" t="s">
        <v>22</v>
      </c>
      <c r="F1" s="41" t="s">
        <v>23</v>
      </c>
      <c r="G1" s="41" t="s">
        <v>24</v>
      </c>
      <c r="H1" s="41" t="s">
        <v>25</v>
      </c>
      <c r="I1" s="41" t="s">
        <v>14</v>
      </c>
      <c r="J1" s="41" t="s">
        <v>15</v>
      </c>
      <c r="K1" s="41" t="s">
        <v>16</v>
      </c>
      <c r="L1" s="41" t="s">
        <v>17</v>
      </c>
      <c r="M1" s="41" t="s">
        <v>18</v>
      </c>
      <c r="N1" s="41" t="s">
        <v>19</v>
      </c>
      <c r="O1" s="43" t="s">
        <v>26</v>
      </c>
      <c r="P1" s="41" t="s">
        <v>27</v>
      </c>
    </row>
    <row r="2" spans="1:16" x14ac:dyDescent="0.2">
      <c r="A2" s="5">
        <v>2022</v>
      </c>
      <c r="B2" s="5" t="s">
        <v>28</v>
      </c>
      <c r="C2" s="48">
        <v>582</v>
      </c>
      <c r="D2" s="48">
        <v>585</v>
      </c>
      <c r="E2" s="48">
        <v>588</v>
      </c>
      <c r="F2" s="48">
        <v>591</v>
      </c>
      <c r="G2" s="48">
        <v>591</v>
      </c>
      <c r="H2" s="48">
        <v>574</v>
      </c>
      <c r="I2" s="48">
        <v>608</v>
      </c>
      <c r="J2" s="48">
        <v>615</v>
      </c>
      <c r="K2" s="48">
        <v>636</v>
      </c>
      <c r="L2" s="48">
        <v>623</v>
      </c>
      <c r="M2" s="48">
        <v>626</v>
      </c>
      <c r="N2" s="48">
        <v>614</v>
      </c>
      <c r="O2" s="6">
        <f>SUM(C2:N2)</f>
        <v>7233</v>
      </c>
      <c r="P2" s="6">
        <f>AVERAGE(C2:N2)</f>
        <v>602.75</v>
      </c>
    </row>
    <row r="3" spans="1:16" x14ac:dyDescent="0.2">
      <c r="A3" s="5">
        <v>2023</v>
      </c>
      <c r="B3" s="5" t="s">
        <v>28</v>
      </c>
      <c r="C3" s="48">
        <v>645</v>
      </c>
      <c r="D3" s="48">
        <v>643</v>
      </c>
      <c r="E3" s="48">
        <v>676</v>
      </c>
      <c r="F3" s="48">
        <v>681</v>
      </c>
      <c r="G3" s="48">
        <v>721</v>
      </c>
      <c r="H3" s="48">
        <v>784</v>
      </c>
      <c r="I3" s="48">
        <v>830</v>
      </c>
      <c r="J3" s="48">
        <v>893</v>
      </c>
      <c r="K3" s="48">
        <v>897</v>
      </c>
      <c r="L3" s="48">
        <v>967</v>
      </c>
      <c r="M3" s="48">
        <v>1010</v>
      </c>
      <c r="N3" s="48">
        <v>1024</v>
      </c>
      <c r="O3" s="6">
        <f t="shared" ref="O3:O5" si="0">SUM(C3:N3)</f>
        <v>9771</v>
      </c>
      <c r="P3" s="6">
        <f t="shared" ref="P3:P5" si="1">AVERAGE(C3:N3)</f>
        <v>814.25</v>
      </c>
    </row>
    <row r="4" spans="1:16" x14ac:dyDescent="0.2">
      <c r="A4" s="5">
        <v>2024</v>
      </c>
      <c r="B4" s="5" t="s">
        <v>28</v>
      </c>
      <c r="C4" s="48">
        <v>1058</v>
      </c>
      <c r="D4" s="48">
        <v>1076</v>
      </c>
      <c r="E4" s="48">
        <v>1116</v>
      </c>
      <c r="F4" s="48">
        <v>1137</v>
      </c>
      <c r="G4" s="48">
        <v>1138</v>
      </c>
      <c r="H4" s="48">
        <v>1280</v>
      </c>
      <c r="I4" s="47">
        <v>1270</v>
      </c>
      <c r="J4" s="47">
        <v>1401</v>
      </c>
      <c r="K4" s="47">
        <v>1315</v>
      </c>
      <c r="L4" s="47">
        <v>1375</v>
      </c>
      <c r="M4" s="47">
        <v>1365</v>
      </c>
      <c r="N4" s="47">
        <v>1380</v>
      </c>
      <c r="O4" s="6">
        <f t="shared" si="0"/>
        <v>14911</v>
      </c>
      <c r="P4" s="6">
        <f t="shared" si="1"/>
        <v>1242.5833333333333</v>
      </c>
    </row>
    <row r="5" spans="1:16" x14ac:dyDescent="0.2">
      <c r="A5" s="5">
        <v>2025</v>
      </c>
      <c r="B5" s="5" t="s">
        <v>28</v>
      </c>
      <c r="C5" s="48">
        <v>1450</v>
      </c>
      <c r="D5" s="48">
        <v>1476</v>
      </c>
      <c r="E5" s="48">
        <v>1509</v>
      </c>
      <c r="F5" s="48">
        <v>1546</v>
      </c>
      <c r="G5" s="48">
        <v>1512</v>
      </c>
      <c r="H5" s="48">
        <v>1619</v>
      </c>
      <c r="I5" s="47">
        <v>1632</v>
      </c>
      <c r="J5" s="47">
        <v>1720</v>
      </c>
      <c r="K5" s="47">
        <v>1677</v>
      </c>
      <c r="L5" s="47">
        <v>1714</v>
      </c>
      <c r="M5" s="47">
        <v>1700</v>
      </c>
      <c r="N5" s="47">
        <v>1724</v>
      </c>
      <c r="O5" s="6">
        <f t="shared" si="0"/>
        <v>19279</v>
      </c>
      <c r="P5" s="6">
        <f t="shared" si="1"/>
        <v>1606.5833333333333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5B61-7742-734C-895A-4BA53D62FB52}">
  <dimension ref="A1:P6"/>
  <sheetViews>
    <sheetView workbookViewId="0">
      <selection activeCell="E17" sqref="E17"/>
    </sheetView>
  </sheetViews>
  <sheetFormatPr baseColWidth="10" defaultRowHeight="16" x14ac:dyDescent="0.2"/>
  <sheetData>
    <row r="1" spans="1:16" x14ac:dyDescent="0.2">
      <c r="A1" s="41" t="s">
        <v>13</v>
      </c>
      <c r="B1" s="42" t="s">
        <v>12</v>
      </c>
      <c r="C1" s="41" t="s">
        <v>20</v>
      </c>
      <c r="D1" s="41" t="s">
        <v>21</v>
      </c>
      <c r="E1" s="41" t="s">
        <v>22</v>
      </c>
      <c r="F1" s="41" t="s">
        <v>23</v>
      </c>
      <c r="G1" s="41" t="s">
        <v>24</v>
      </c>
      <c r="H1" s="41" t="s">
        <v>25</v>
      </c>
      <c r="I1" s="41" t="s">
        <v>14</v>
      </c>
      <c r="J1" s="41" t="s">
        <v>15</v>
      </c>
      <c r="K1" s="41" t="s">
        <v>16</v>
      </c>
      <c r="L1" s="41" t="s">
        <v>17</v>
      </c>
      <c r="M1" s="41" t="s">
        <v>18</v>
      </c>
      <c r="N1" s="41" t="s">
        <v>19</v>
      </c>
      <c r="O1" s="43" t="s">
        <v>26</v>
      </c>
      <c r="P1" s="41" t="s">
        <v>27</v>
      </c>
    </row>
    <row r="2" spans="1:16" x14ac:dyDescent="0.2">
      <c r="A2" s="39">
        <v>2022</v>
      </c>
      <c r="B2" s="39" t="s">
        <v>28</v>
      </c>
      <c r="C2" s="10">
        <v>410</v>
      </c>
      <c r="D2" s="10">
        <v>407</v>
      </c>
      <c r="E2" s="10">
        <v>408</v>
      </c>
      <c r="F2" s="10">
        <v>416</v>
      </c>
      <c r="G2" s="10">
        <v>417</v>
      </c>
      <c r="H2" s="10">
        <v>408</v>
      </c>
      <c r="I2" s="10">
        <v>426</v>
      </c>
      <c r="J2" s="10">
        <v>431</v>
      </c>
      <c r="K2" s="10">
        <v>440</v>
      </c>
      <c r="L2" s="10">
        <v>438</v>
      </c>
      <c r="M2" s="10">
        <v>431</v>
      </c>
      <c r="N2" s="10">
        <v>423</v>
      </c>
      <c r="O2" s="49">
        <f>SUM(C2:N2)</f>
        <v>5055</v>
      </c>
      <c r="P2" s="49">
        <f>AVERAGE(C2:N2)</f>
        <v>421.25</v>
      </c>
    </row>
    <row r="3" spans="1:16" x14ac:dyDescent="0.2">
      <c r="A3" s="39">
        <v>2023</v>
      </c>
      <c r="B3" s="39" t="s">
        <v>28</v>
      </c>
      <c r="C3" s="10">
        <v>437</v>
      </c>
      <c r="D3" s="10">
        <v>441</v>
      </c>
      <c r="E3" s="10">
        <v>473</v>
      </c>
      <c r="F3" s="10">
        <v>478</v>
      </c>
      <c r="G3" s="10">
        <v>506</v>
      </c>
      <c r="H3" s="10">
        <v>546</v>
      </c>
      <c r="I3" s="10">
        <v>571</v>
      </c>
      <c r="J3" s="10">
        <v>612</v>
      </c>
      <c r="K3" s="10">
        <v>617</v>
      </c>
      <c r="L3" s="10">
        <v>668</v>
      </c>
      <c r="M3" s="10">
        <v>693</v>
      </c>
      <c r="N3" s="10">
        <v>710</v>
      </c>
      <c r="O3" s="49">
        <f t="shared" ref="O3:O5" si="0">SUM(C3:N3)</f>
        <v>6752</v>
      </c>
      <c r="P3" s="49">
        <f t="shared" ref="P3:P5" si="1">AVERAGE(C3:N3)</f>
        <v>562.66666666666663</v>
      </c>
    </row>
    <row r="4" spans="1:16" x14ac:dyDescent="0.2">
      <c r="A4" s="39">
        <v>2024</v>
      </c>
      <c r="B4" s="39" t="s">
        <v>28</v>
      </c>
      <c r="C4" s="10">
        <v>736</v>
      </c>
      <c r="D4" s="10">
        <v>750</v>
      </c>
      <c r="E4" s="10">
        <v>777</v>
      </c>
      <c r="F4" s="10">
        <v>793</v>
      </c>
      <c r="G4" s="10">
        <v>805</v>
      </c>
      <c r="H4" s="10">
        <v>912</v>
      </c>
      <c r="I4" s="10">
        <v>896</v>
      </c>
      <c r="J4" s="10">
        <v>1001</v>
      </c>
      <c r="K4" s="10">
        <v>925</v>
      </c>
      <c r="L4" s="10">
        <v>961</v>
      </c>
      <c r="M4" s="10">
        <v>959</v>
      </c>
      <c r="N4" s="10">
        <v>968</v>
      </c>
      <c r="O4" s="49">
        <f t="shared" si="0"/>
        <v>10483</v>
      </c>
      <c r="P4" s="49">
        <f t="shared" si="1"/>
        <v>873.58333333333337</v>
      </c>
    </row>
    <row r="5" spans="1:16" x14ac:dyDescent="0.2">
      <c r="A5" s="39">
        <v>2025</v>
      </c>
      <c r="B5" s="39" t="s">
        <v>28</v>
      </c>
      <c r="C5" s="10">
        <v>1009</v>
      </c>
      <c r="D5" s="10">
        <v>1036</v>
      </c>
      <c r="E5" s="10">
        <v>1057</v>
      </c>
      <c r="F5" s="10">
        <v>1081</v>
      </c>
      <c r="G5" s="10">
        <v>1041</v>
      </c>
      <c r="H5" s="10">
        <v>1109</v>
      </c>
      <c r="I5" s="10">
        <v>1104</v>
      </c>
      <c r="J5" s="10">
        <v>1171</v>
      </c>
      <c r="K5" s="10">
        <v>1146</v>
      </c>
      <c r="L5" s="10">
        <v>1168</v>
      </c>
      <c r="M5" s="10">
        <v>1164</v>
      </c>
      <c r="N5" s="10">
        <v>1175</v>
      </c>
      <c r="O5" s="49">
        <f t="shared" si="0"/>
        <v>13261</v>
      </c>
      <c r="P5" s="49">
        <f t="shared" si="1"/>
        <v>1105.0833333333333</v>
      </c>
    </row>
    <row r="6" spans="1:16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5964-43FE-2A41-BACB-D33F91AB624E}">
  <dimension ref="A1:G431"/>
  <sheetViews>
    <sheetView workbookViewId="0">
      <selection activeCell="C22" sqref="C22"/>
    </sheetView>
  </sheetViews>
  <sheetFormatPr baseColWidth="10" defaultRowHeight="16" x14ac:dyDescent="0.2"/>
  <cols>
    <col min="1" max="1" width="67.6640625" bestFit="1" customWidth="1"/>
    <col min="2" max="2" width="29.6640625" bestFit="1" customWidth="1"/>
    <col min="3" max="3" width="46.33203125" bestFit="1" customWidth="1"/>
    <col min="4" max="4" width="13.6640625" bestFit="1" customWidth="1"/>
    <col min="5" max="5" width="25.5" bestFit="1" customWidth="1"/>
    <col min="6" max="6" width="11.83203125" bestFit="1" customWidth="1"/>
    <col min="7" max="7" width="12.83203125" bestFit="1" customWidth="1"/>
  </cols>
  <sheetData>
    <row r="1" spans="1:7" x14ac:dyDescent="0.2">
      <c r="A1" s="53" t="s">
        <v>29</v>
      </c>
      <c r="B1" s="53" t="s">
        <v>30</v>
      </c>
      <c r="C1" s="53" t="s">
        <v>31</v>
      </c>
      <c r="D1" s="53" t="s">
        <v>12</v>
      </c>
      <c r="E1" s="53" t="s">
        <v>32</v>
      </c>
      <c r="F1" s="53" t="s">
        <v>33</v>
      </c>
      <c r="G1" s="53" t="s">
        <v>34</v>
      </c>
    </row>
    <row r="2" spans="1:7" x14ac:dyDescent="0.2">
      <c r="A2" s="39" t="s">
        <v>35</v>
      </c>
      <c r="B2" s="39"/>
      <c r="C2" s="39" t="s">
        <v>36</v>
      </c>
      <c r="D2" s="39" t="s">
        <v>37</v>
      </c>
      <c r="E2" s="39"/>
      <c r="F2" s="39" t="s">
        <v>38</v>
      </c>
      <c r="G2" s="39" t="s">
        <v>39</v>
      </c>
    </row>
    <row r="3" spans="1:7" x14ac:dyDescent="0.2">
      <c r="A3" s="39" t="s">
        <v>40</v>
      </c>
      <c r="B3" s="39" t="s">
        <v>41</v>
      </c>
      <c r="C3" s="39" t="s">
        <v>42</v>
      </c>
      <c r="D3" s="39" t="s">
        <v>37</v>
      </c>
      <c r="E3" s="39"/>
      <c r="F3" s="39" t="s">
        <v>43</v>
      </c>
      <c r="G3" s="39" t="s">
        <v>39</v>
      </c>
    </row>
    <row r="4" spans="1:7" x14ac:dyDescent="0.2">
      <c r="A4" s="39" t="s">
        <v>44</v>
      </c>
      <c r="B4" s="39"/>
      <c r="C4" s="39" t="s">
        <v>45</v>
      </c>
      <c r="D4" s="39" t="s">
        <v>37</v>
      </c>
      <c r="E4" s="39"/>
      <c r="F4" s="39" t="s">
        <v>43</v>
      </c>
      <c r="G4" s="39" t="s">
        <v>39</v>
      </c>
    </row>
    <row r="5" spans="1:7" x14ac:dyDescent="0.2">
      <c r="A5" s="39" t="s">
        <v>46</v>
      </c>
      <c r="B5" s="39"/>
      <c r="C5" s="39" t="s">
        <v>47</v>
      </c>
      <c r="D5" s="39" t="s">
        <v>37</v>
      </c>
      <c r="E5" s="39"/>
      <c r="F5" s="39" t="s">
        <v>43</v>
      </c>
      <c r="G5" s="39" t="s">
        <v>39</v>
      </c>
    </row>
    <row r="6" spans="1:7" x14ac:dyDescent="0.2">
      <c r="A6" s="39" t="s">
        <v>48</v>
      </c>
      <c r="B6" s="39"/>
      <c r="C6" s="39" t="s">
        <v>49</v>
      </c>
      <c r="D6" s="39" t="s">
        <v>37</v>
      </c>
      <c r="E6" s="39"/>
      <c r="F6" s="39" t="s">
        <v>43</v>
      </c>
      <c r="G6" s="39" t="s">
        <v>39</v>
      </c>
    </row>
    <row r="7" spans="1:7" x14ac:dyDescent="0.2">
      <c r="A7" s="39" t="s">
        <v>50</v>
      </c>
      <c r="B7" s="39"/>
      <c r="C7" s="39" t="s">
        <v>51</v>
      </c>
      <c r="D7" s="39" t="s">
        <v>37</v>
      </c>
      <c r="E7" s="39"/>
      <c r="F7" s="39" t="s">
        <v>43</v>
      </c>
      <c r="G7" s="39" t="s">
        <v>39</v>
      </c>
    </row>
    <row r="8" spans="1:7" x14ac:dyDescent="0.2">
      <c r="A8" s="39" t="s">
        <v>52</v>
      </c>
      <c r="B8" s="39"/>
      <c r="C8" s="39" t="s">
        <v>53</v>
      </c>
      <c r="D8" s="39" t="s">
        <v>37</v>
      </c>
      <c r="E8" s="39"/>
      <c r="F8" s="39" t="s">
        <v>43</v>
      </c>
      <c r="G8" s="39" t="s">
        <v>39</v>
      </c>
    </row>
    <row r="9" spans="1:7" x14ac:dyDescent="0.2">
      <c r="A9" s="39" t="s">
        <v>54</v>
      </c>
      <c r="B9" s="39" t="s">
        <v>55</v>
      </c>
      <c r="C9" s="39" t="s">
        <v>56</v>
      </c>
      <c r="D9" s="39" t="s">
        <v>37</v>
      </c>
      <c r="E9" s="39"/>
      <c r="F9" s="39" t="s">
        <v>43</v>
      </c>
      <c r="G9" s="39" t="s">
        <v>39</v>
      </c>
    </row>
    <row r="10" spans="1:7" x14ac:dyDescent="0.2">
      <c r="A10" s="39" t="s">
        <v>57</v>
      </c>
      <c r="B10" s="39"/>
      <c r="C10" s="39" t="s">
        <v>58</v>
      </c>
      <c r="D10" s="39" t="s">
        <v>37</v>
      </c>
      <c r="E10" s="39"/>
      <c r="F10" s="39" t="s">
        <v>38</v>
      </c>
      <c r="G10" s="39" t="s">
        <v>39</v>
      </c>
    </row>
    <row r="11" spans="1:7" x14ac:dyDescent="0.2">
      <c r="A11" s="39" t="s">
        <v>59</v>
      </c>
      <c r="B11" s="39"/>
      <c r="C11" s="39" t="s">
        <v>60</v>
      </c>
      <c r="D11" s="39" t="s">
        <v>37</v>
      </c>
      <c r="E11" s="39"/>
      <c r="F11" s="39" t="s">
        <v>38</v>
      </c>
      <c r="G11" s="39" t="s">
        <v>39</v>
      </c>
    </row>
    <row r="12" spans="1:7" x14ac:dyDescent="0.2">
      <c r="A12" s="39" t="s">
        <v>61</v>
      </c>
      <c r="B12" s="39"/>
      <c r="C12" s="39" t="s">
        <v>62</v>
      </c>
      <c r="D12" s="39" t="s">
        <v>37</v>
      </c>
      <c r="E12" s="39"/>
      <c r="F12" s="39" t="s">
        <v>43</v>
      </c>
      <c r="G12" s="39" t="s">
        <v>39</v>
      </c>
    </row>
    <row r="13" spans="1:7" x14ac:dyDescent="0.2">
      <c r="A13" s="39" t="s">
        <v>63</v>
      </c>
      <c r="B13" s="39"/>
      <c r="C13" s="39" t="s">
        <v>64</v>
      </c>
      <c r="D13" s="39" t="s">
        <v>37</v>
      </c>
      <c r="E13" s="39"/>
      <c r="F13" s="39" t="s">
        <v>38</v>
      </c>
      <c r="G13" s="39" t="s">
        <v>39</v>
      </c>
    </row>
    <row r="14" spans="1:7" x14ac:dyDescent="0.2">
      <c r="A14" s="39" t="s">
        <v>65</v>
      </c>
      <c r="B14" s="39" t="s">
        <v>66</v>
      </c>
      <c r="C14" s="39" t="s">
        <v>67</v>
      </c>
      <c r="D14" s="39" t="s">
        <v>37</v>
      </c>
      <c r="E14" s="39"/>
      <c r="F14" s="39" t="s">
        <v>43</v>
      </c>
      <c r="G14" s="39" t="s">
        <v>39</v>
      </c>
    </row>
    <row r="15" spans="1:7" x14ac:dyDescent="0.2">
      <c r="A15" s="39" t="s">
        <v>68</v>
      </c>
      <c r="B15" s="39"/>
      <c r="C15" s="39" t="s">
        <v>69</v>
      </c>
      <c r="D15" s="39" t="s">
        <v>37</v>
      </c>
      <c r="E15" s="39" t="s">
        <v>70</v>
      </c>
      <c r="F15" s="39" t="s">
        <v>43</v>
      </c>
      <c r="G15" s="39" t="s">
        <v>39</v>
      </c>
    </row>
    <row r="16" spans="1:7" x14ac:dyDescent="0.2">
      <c r="A16" s="39" t="s">
        <v>71</v>
      </c>
      <c r="B16" s="39"/>
      <c r="C16" s="39" t="s">
        <v>72</v>
      </c>
      <c r="D16" s="39" t="s">
        <v>37</v>
      </c>
      <c r="E16" s="39"/>
      <c r="F16" s="39" t="s">
        <v>43</v>
      </c>
      <c r="G16" s="39" t="s">
        <v>39</v>
      </c>
    </row>
    <row r="17" spans="1:7" x14ac:dyDescent="0.2">
      <c r="A17" s="39" t="s">
        <v>73</v>
      </c>
      <c r="B17" s="39"/>
      <c r="C17" s="39" t="s">
        <v>74</v>
      </c>
      <c r="D17" s="39" t="s">
        <v>37</v>
      </c>
      <c r="E17" s="39"/>
      <c r="F17" s="39" t="s">
        <v>43</v>
      </c>
      <c r="G17" s="39" t="s">
        <v>39</v>
      </c>
    </row>
    <row r="18" spans="1:7" x14ac:dyDescent="0.2">
      <c r="A18" s="39" t="s">
        <v>75</v>
      </c>
      <c r="B18" s="39" t="s">
        <v>76</v>
      </c>
      <c r="C18" s="39" t="s">
        <v>77</v>
      </c>
      <c r="D18" s="39" t="s">
        <v>37</v>
      </c>
      <c r="E18" s="39"/>
      <c r="F18" s="39" t="s">
        <v>43</v>
      </c>
      <c r="G18" s="39" t="s">
        <v>39</v>
      </c>
    </row>
    <row r="19" spans="1:7" x14ac:dyDescent="0.2">
      <c r="A19" s="39" t="s">
        <v>78</v>
      </c>
      <c r="B19" s="39"/>
      <c r="C19" s="39" t="s">
        <v>79</v>
      </c>
      <c r="D19" s="39" t="s">
        <v>37</v>
      </c>
      <c r="E19" s="39"/>
      <c r="F19" s="39" t="s">
        <v>43</v>
      </c>
      <c r="G19" s="39" t="s">
        <v>39</v>
      </c>
    </row>
    <row r="20" spans="1:7" x14ac:dyDescent="0.2">
      <c r="A20" s="39" t="s">
        <v>80</v>
      </c>
      <c r="B20" s="39"/>
      <c r="C20" s="39" t="s">
        <v>81</v>
      </c>
      <c r="D20" s="39" t="s">
        <v>37</v>
      </c>
      <c r="E20" s="39"/>
      <c r="F20" s="39" t="s">
        <v>43</v>
      </c>
      <c r="G20" s="39" t="s">
        <v>39</v>
      </c>
    </row>
    <row r="21" spans="1:7" x14ac:dyDescent="0.2">
      <c r="A21" s="39" t="s">
        <v>82</v>
      </c>
      <c r="B21" s="39" t="s">
        <v>66</v>
      </c>
      <c r="C21" s="39" t="s">
        <v>83</v>
      </c>
      <c r="D21" s="39" t="s">
        <v>37</v>
      </c>
      <c r="E21" s="39"/>
      <c r="F21" s="39" t="s">
        <v>43</v>
      </c>
      <c r="G21" s="39" t="s">
        <v>39</v>
      </c>
    </row>
    <row r="22" spans="1:7" x14ac:dyDescent="0.2">
      <c r="A22" s="39" t="s">
        <v>84</v>
      </c>
      <c r="B22" s="39"/>
      <c r="C22" s="39" t="s">
        <v>85</v>
      </c>
      <c r="D22" s="39" t="s">
        <v>37</v>
      </c>
      <c r="E22" s="39"/>
      <c r="F22" s="39" t="s">
        <v>43</v>
      </c>
      <c r="G22" s="39" t="s">
        <v>39</v>
      </c>
    </row>
    <row r="23" spans="1:7" x14ac:dyDescent="0.2">
      <c r="A23" s="39" t="s">
        <v>86</v>
      </c>
      <c r="B23" s="39"/>
      <c r="C23" s="39" t="s">
        <v>87</v>
      </c>
      <c r="D23" s="39" t="s">
        <v>37</v>
      </c>
      <c r="E23" s="39"/>
      <c r="F23" s="39" t="s">
        <v>38</v>
      </c>
      <c r="G23" s="39" t="s">
        <v>39</v>
      </c>
    </row>
    <row r="24" spans="1:7" x14ac:dyDescent="0.2">
      <c r="A24" s="39" t="s">
        <v>88</v>
      </c>
      <c r="B24" s="39"/>
      <c r="C24" s="39" t="s">
        <v>89</v>
      </c>
      <c r="D24" s="39" t="s">
        <v>37</v>
      </c>
      <c r="E24" s="39" t="s">
        <v>90</v>
      </c>
      <c r="F24" s="39" t="s">
        <v>43</v>
      </c>
      <c r="G24" s="39" t="s">
        <v>39</v>
      </c>
    </row>
    <row r="25" spans="1:7" x14ac:dyDescent="0.2">
      <c r="A25" s="39" t="s">
        <v>91</v>
      </c>
      <c r="B25" s="39"/>
      <c r="C25" s="39" t="s">
        <v>92</v>
      </c>
      <c r="D25" s="39" t="s">
        <v>37</v>
      </c>
      <c r="E25" s="39" t="s">
        <v>93</v>
      </c>
      <c r="F25" s="39" t="s">
        <v>43</v>
      </c>
      <c r="G25" s="39" t="s">
        <v>39</v>
      </c>
    </row>
    <row r="26" spans="1:7" x14ac:dyDescent="0.2">
      <c r="A26" s="39" t="s">
        <v>94</v>
      </c>
      <c r="B26" s="39"/>
      <c r="C26" s="39" t="s">
        <v>95</v>
      </c>
      <c r="D26" s="39" t="s">
        <v>37</v>
      </c>
      <c r="E26" s="39"/>
      <c r="F26" s="39" t="s">
        <v>43</v>
      </c>
      <c r="G26" s="39" t="s">
        <v>39</v>
      </c>
    </row>
    <row r="27" spans="1:7" x14ac:dyDescent="0.2">
      <c r="A27" s="39" t="s">
        <v>96</v>
      </c>
      <c r="B27" s="39"/>
      <c r="C27" s="39" t="s">
        <v>97</v>
      </c>
      <c r="D27" s="39" t="s">
        <v>37</v>
      </c>
      <c r="E27" s="39"/>
      <c r="F27" s="39" t="s">
        <v>43</v>
      </c>
      <c r="G27" s="39" t="s">
        <v>39</v>
      </c>
    </row>
    <row r="28" spans="1:7" x14ac:dyDescent="0.2">
      <c r="A28" s="39" t="s">
        <v>98</v>
      </c>
      <c r="B28" s="39"/>
      <c r="C28" s="39" t="s">
        <v>99</v>
      </c>
      <c r="D28" s="39" t="s">
        <v>37</v>
      </c>
      <c r="E28" s="39"/>
      <c r="F28" s="39" t="s">
        <v>100</v>
      </c>
      <c r="G28" s="39" t="s">
        <v>39</v>
      </c>
    </row>
    <row r="29" spans="1:7" x14ac:dyDescent="0.2">
      <c r="A29" s="39" t="s">
        <v>101</v>
      </c>
      <c r="B29" s="39"/>
      <c r="C29" s="39" t="s">
        <v>102</v>
      </c>
      <c r="D29" s="39" t="s">
        <v>37</v>
      </c>
      <c r="E29" s="39" t="s">
        <v>103</v>
      </c>
      <c r="F29" s="39" t="s">
        <v>38</v>
      </c>
      <c r="G29" s="39" t="s">
        <v>39</v>
      </c>
    </row>
    <row r="30" spans="1:7" x14ac:dyDescent="0.2">
      <c r="A30" s="39" t="s">
        <v>104</v>
      </c>
      <c r="B30" s="39"/>
      <c r="C30" s="39" t="s">
        <v>58</v>
      </c>
      <c r="D30" s="39" t="s">
        <v>37</v>
      </c>
      <c r="E30" s="39"/>
      <c r="F30" s="39" t="s">
        <v>38</v>
      </c>
      <c r="G30" s="39" t="s">
        <v>39</v>
      </c>
    </row>
    <row r="31" spans="1:7" x14ac:dyDescent="0.2">
      <c r="A31" s="39" t="s">
        <v>105</v>
      </c>
      <c r="B31" s="39"/>
      <c r="C31" s="39" t="s">
        <v>106</v>
      </c>
      <c r="D31" s="39" t="s">
        <v>37</v>
      </c>
      <c r="E31" s="39"/>
      <c r="F31" s="39" t="s">
        <v>43</v>
      </c>
      <c r="G31" s="39" t="s">
        <v>39</v>
      </c>
    </row>
    <row r="32" spans="1:7" x14ac:dyDescent="0.2">
      <c r="A32" s="39" t="s">
        <v>107</v>
      </c>
      <c r="B32" s="39"/>
      <c r="C32" s="39" t="s">
        <v>108</v>
      </c>
      <c r="D32" s="39" t="s">
        <v>37</v>
      </c>
      <c r="E32" s="39" t="s">
        <v>93</v>
      </c>
      <c r="F32" s="39" t="s">
        <v>43</v>
      </c>
      <c r="G32" s="39" t="s">
        <v>39</v>
      </c>
    </row>
    <row r="33" spans="1:7" x14ac:dyDescent="0.2">
      <c r="A33" s="39" t="s">
        <v>109</v>
      </c>
      <c r="B33" s="39"/>
      <c r="C33" s="39" t="s">
        <v>110</v>
      </c>
      <c r="D33" s="39" t="s">
        <v>37</v>
      </c>
      <c r="E33" s="39"/>
      <c r="F33" s="39" t="s">
        <v>38</v>
      </c>
      <c r="G33" s="39" t="s">
        <v>39</v>
      </c>
    </row>
    <row r="34" spans="1:7" x14ac:dyDescent="0.2">
      <c r="A34" s="39" t="s">
        <v>111</v>
      </c>
      <c r="B34" s="39"/>
      <c r="C34" s="39" t="s">
        <v>112</v>
      </c>
      <c r="D34" s="39" t="s">
        <v>37</v>
      </c>
      <c r="E34" s="39"/>
      <c r="F34" s="39" t="s">
        <v>38</v>
      </c>
      <c r="G34" s="39" t="s">
        <v>39</v>
      </c>
    </row>
    <row r="35" spans="1:7" x14ac:dyDescent="0.2">
      <c r="A35" s="39" t="s">
        <v>113</v>
      </c>
      <c r="B35" s="39"/>
      <c r="C35" s="39" t="s">
        <v>114</v>
      </c>
      <c r="D35" s="39" t="s">
        <v>37</v>
      </c>
      <c r="E35" s="39" t="s">
        <v>115</v>
      </c>
      <c r="F35" s="39" t="s">
        <v>43</v>
      </c>
      <c r="G35" s="39" t="s">
        <v>39</v>
      </c>
    </row>
    <row r="36" spans="1:7" x14ac:dyDescent="0.2">
      <c r="A36" s="39" t="s">
        <v>116</v>
      </c>
      <c r="B36" s="39"/>
      <c r="C36" s="39" t="s">
        <v>117</v>
      </c>
      <c r="D36" s="39" t="s">
        <v>37</v>
      </c>
      <c r="E36" s="39"/>
      <c r="F36" s="39" t="s">
        <v>38</v>
      </c>
      <c r="G36" s="39" t="s">
        <v>39</v>
      </c>
    </row>
    <row r="37" spans="1:7" x14ac:dyDescent="0.2">
      <c r="A37" s="39" t="s">
        <v>118</v>
      </c>
      <c r="B37" s="39"/>
      <c r="C37" s="39" t="s">
        <v>119</v>
      </c>
      <c r="D37" s="39" t="s">
        <v>37</v>
      </c>
      <c r="E37" s="39"/>
      <c r="F37" s="39" t="s">
        <v>38</v>
      </c>
      <c r="G37" s="39" t="s">
        <v>39</v>
      </c>
    </row>
    <row r="38" spans="1:7" x14ac:dyDescent="0.2">
      <c r="A38" s="39" t="s">
        <v>120</v>
      </c>
      <c r="B38" s="39"/>
      <c r="C38" s="39" t="s">
        <v>121</v>
      </c>
      <c r="D38" s="39" t="s">
        <v>37</v>
      </c>
      <c r="E38" s="39"/>
      <c r="F38" s="39" t="s">
        <v>43</v>
      </c>
      <c r="G38" s="39" t="s">
        <v>39</v>
      </c>
    </row>
    <row r="39" spans="1:7" x14ac:dyDescent="0.2">
      <c r="A39" s="39" t="s">
        <v>122</v>
      </c>
      <c r="B39" s="39"/>
      <c r="C39" s="39" t="s">
        <v>123</v>
      </c>
      <c r="D39" s="39" t="s">
        <v>37</v>
      </c>
      <c r="E39" s="39"/>
      <c r="F39" s="39" t="s">
        <v>38</v>
      </c>
      <c r="G39" s="39" t="s">
        <v>39</v>
      </c>
    </row>
    <row r="40" spans="1:7" x14ac:dyDescent="0.2">
      <c r="A40" s="39" t="s">
        <v>124</v>
      </c>
      <c r="B40" s="39"/>
      <c r="C40" s="39" t="s">
        <v>125</v>
      </c>
      <c r="D40" s="39" t="s">
        <v>37</v>
      </c>
      <c r="E40" s="39"/>
      <c r="F40" s="39" t="s">
        <v>38</v>
      </c>
      <c r="G40" s="39" t="s">
        <v>39</v>
      </c>
    </row>
    <row r="41" spans="1:7" x14ac:dyDescent="0.2">
      <c r="A41" s="39" t="s">
        <v>126</v>
      </c>
      <c r="B41" s="39"/>
      <c r="C41" s="39" t="s">
        <v>127</v>
      </c>
      <c r="D41" s="39" t="s">
        <v>37</v>
      </c>
      <c r="E41" s="39" t="s">
        <v>128</v>
      </c>
      <c r="F41" s="39" t="s">
        <v>43</v>
      </c>
      <c r="G41" s="39" t="s">
        <v>39</v>
      </c>
    </row>
    <row r="42" spans="1:7" x14ac:dyDescent="0.2">
      <c r="A42" s="39" t="s">
        <v>129</v>
      </c>
      <c r="B42" s="39"/>
      <c r="C42" s="39" t="s">
        <v>130</v>
      </c>
      <c r="D42" s="39" t="s">
        <v>37</v>
      </c>
      <c r="E42" s="39"/>
      <c r="F42" s="39" t="s">
        <v>38</v>
      </c>
      <c r="G42" s="39" t="s">
        <v>39</v>
      </c>
    </row>
    <row r="43" spans="1:7" x14ac:dyDescent="0.2">
      <c r="A43" s="39" t="s">
        <v>131</v>
      </c>
      <c r="B43" s="39"/>
      <c r="C43" s="39" t="s">
        <v>132</v>
      </c>
      <c r="D43" s="39" t="s">
        <v>37</v>
      </c>
      <c r="E43" s="39"/>
      <c r="F43" s="39" t="s">
        <v>38</v>
      </c>
      <c r="G43" s="39" t="s">
        <v>39</v>
      </c>
    </row>
    <row r="44" spans="1:7" x14ac:dyDescent="0.2">
      <c r="A44" s="39" t="s">
        <v>133</v>
      </c>
      <c r="B44" s="39"/>
      <c r="C44" s="39" t="s">
        <v>134</v>
      </c>
      <c r="D44" s="39" t="s">
        <v>37</v>
      </c>
      <c r="E44" s="39" t="s">
        <v>135</v>
      </c>
      <c r="F44" s="39" t="s">
        <v>38</v>
      </c>
      <c r="G44" s="39" t="s">
        <v>39</v>
      </c>
    </row>
    <row r="45" spans="1:7" x14ac:dyDescent="0.2">
      <c r="A45" s="39" t="s">
        <v>136</v>
      </c>
      <c r="B45" s="39"/>
      <c r="C45" s="39" t="s">
        <v>137</v>
      </c>
      <c r="D45" s="39" t="s">
        <v>37</v>
      </c>
      <c r="E45" s="39"/>
      <c r="F45" s="39" t="s">
        <v>43</v>
      </c>
      <c r="G45" s="39" t="s">
        <v>39</v>
      </c>
    </row>
    <row r="46" spans="1:7" x14ac:dyDescent="0.2">
      <c r="A46" s="39" t="s">
        <v>138</v>
      </c>
      <c r="B46" s="39"/>
      <c r="C46" s="39" t="s">
        <v>139</v>
      </c>
      <c r="D46" s="39" t="s">
        <v>37</v>
      </c>
      <c r="E46" s="39"/>
      <c r="F46" s="39" t="s">
        <v>38</v>
      </c>
      <c r="G46" s="39" t="s">
        <v>39</v>
      </c>
    </row>
    <row r="47" spans="1:7" x14ac:dyDescent="0.2">
      <c r="A47" s="39" t="s">
        <v>138</v>
      </c>
      <c r="B47" s="39"/>
      <c r="C47" s="39" t="s">
        <v>140</v>
      </c>
      <c r="D47" s="39" t="s">
        <v>37</v>
      </c>
      <c r="E47" s="39" t="s">
        <v>141</v>
      </c>
      <c r="F47" s="39" t="s">
        <v>38</v>
      </c>
      <c r="G47" s="39" t="s">
        <v>39</v>
      </c>
    </row>
    <row r="48" spans="1:7" x14ac:dyDescent="0.2">
      <c r="A48" s="39" t="s">
        <v>138</v>
      </c>
      <c r="B48" s="39"/>
      <c r="C48" s="39" t="s">
        <v>142</v>
      </c>
      <c r="D48" s="39" t="s">
        <v>37</v>
      </c>
      <c r="E48" s="39" t="s">
        <v>143</v>
      </c>
      <c r="F48" s="39" t="s">
        <v>38</v>
      </c>
      <c r="G48" s="39" t="s">
        <v>39</v>
      </c>
    </row>
    <row r="49" spans="1:7" x14ac:dyDescent="0.2">
      <c r="A49" s="39" t="s">
        <v>144</v>
      </c>
      <c r="B49" s="39"/>
      <c r="C49" s="39" t="s">
        <v>145</v>
      </c>
      <c r="D49" s="39" t="s">
        <v>37</v>
      </c>
      <c r="E49" s="39" t="s">
        <v>146</v>
      </c>
      <c r="F49" s="39" t="s">
        <v>38</v>
      </c>
      <c r="G49" s="39" t="s">
        <v>39</v>
      </c>
    </row>
    <row r="50" spans="1:7" x14ac:dyDescent="0.2">
      <c r="A50" s="39" t="s">
        <v>147</v>
      </c>
      <c r="B50" s="39"/>
      <c r="C50" s="39" t="s">
        <v>148</v>
      </c>
      <c r="D50" s="39" t="s">
        <v>37</v>
      </c>
      <c r="E50" s="39" t="s">
        <v>146</v>
      </c>
      <c r="F50" s="39" t="s">
        <v>38</v>
      </c>
      <c r="G50" s="39" t="s">
        <v>39</v>
      </c>
    </row>
    <row r="51" spans="1:7" x14ac:dyDescent="0.2">
      <c r="A51" s="39" t="s">
        <v>149</v>
      </c>
      <c r="B51" s="39"/>
      <c r="C51" s="39" t="s">
        <v>150</v>
      </c>
      <c r="D51" s="39" t="s">
        <v>37</v>
      </c>
      <c r="E51" s="39"/>
      <c r="F51" s="39" t="s">
        <v>38</v>
      </c>
      <c r="G51" s="39" t="s">
        <v>39</v>
      </c>
    </row>
    <row r="52" spans="1:7" x14ac:dyDescent="0.2">
      <c r="A52" s="39" t="s">
        <v>151</v>
      </c>
      <c r="B52" s="39"/>
      <c r="C52" s="39" t="s">
        <v>152</v>
      </c>
      <c r="D52" s="39" t="s">
        <v>37</v>
      </c>
      <c r="E52" s="39" t="s">
        <v>153</v>
      </c>
      <c r="F52" s="39" t="s">
        <v>38</v>
      </c>
      <c r="G52" s="39" t="s">
        <v>39</v>
      </c>
    </row>
    <row r="53" spans="1:7" x14ac:dyDescent="0.2">
      <c r="A53" s="39" t="s">
        <v>154</v>
      </c>
      <c r="B53" s="39"/>
      <c r="C53" s="39" t="s">
        <v>155</v>
      </c>
      <c r="D53" s="39" t="s">
        <v>37</v>
      </c>
      <c r="E53" s="39"/>
      <c r="F53" s="39" t="s">
        <v>43</v>
      </c>
      <c r="G53" s="39" t="s">
        <v>39</v>
      </c>
    </row>
    <row r="54" spans="1:7" x14ac:dyDescent="0.2">
      <c r="A54" s="39" t="s">
        <v>156</v>
      </c>
      <c r="B54" s="39"/>
      <c r="C54" s="39" t="s">
        <v>157</v>
      </c>
      <c r="D54" s="39" t="s">
        <v>37</v>
      </c>
      <c r="E54" s="39"/>
      <c r="F54" s="39" t="s">
        <v>43</v>
      </c>
      <c r="G54" s="39" t="s">
        <v>39</v>
      </c>
    </row>
    <row r="55" spans="1:7" x14ac:dyDescent="0.2">
      <c r="A55" s="39" t="s">
        <v>158</v>
      </c>
      <c r="B55" s="39"/>
      <c r="C55" s="39" t="s">
        <v>159</v>
      </c>
      <c r="D55" s="39" t="s">
        <v>37</v>
      </c>
      <c r="E55" s="39" t="s">
        <v>160</v>
      </c>
      <c r="F55" s="39" t="s">
        <v>43</v>
      </c>
      <c r="G55" s="39" t="s">
        <v>39</v>
      </c>
    </row>
    <row r="56" spans="1:7" x14ac:dyDescent="0.2">
      <c r="A56" s="39" t="s">
        <v>161</v>
      </c>
      <c r="B56" s="39"/>
      <c r="C56" s="39" t="s">
        <v>162</v>
      </c>
      <c r="D56" s="39" t="s">
        <v>37</v>
      </c>
      <c r="E56" s="39"/>
      <c r="F56" s="39" t="s">
        <v>100</v>
      </c>
      <c r="G56" s="39" t="s">
        <v>39</v>
      </c>
    </row>
    <row r="57" spans="1:7" x14ac:dyDescent="0.2">
      <c r="A57" s="39" t="s">
        <v>163</v>
      </c>
      <c r="B57" s="39"/>
      <c r="C57" s="39" t="s">
        <v>164</v>
      </c>
      <c r="D57" s="39" t="s">
        <v>37</v>
      </c>
      <c r="E57" s="39" t="s">
        <v>165</v>
      </c>
      <c r="F57" s="39" t="s">
        <v>38</v>
      </c>
      <c r="G57" s="39" t="s">
        <v>39</v>
      </c>
    </row>
    <row r="58" spans="1:7" x14ac:dyDescent="0.2">
      <c r="A58" s="39" t="s">
        <v>163</v>
      </c>
      <c r="B58" s="39"/>
      <c r="C58" s="39" t="s">
        <v>166</v>
      </c>
      <c r="D58" s="39" t="s">
        <v>37</v>
      </c>
      <c r="E58" s="39" t="s">
        <v>167</v>
      </c>
      <c r="F58" s="39" t="s">
        <v>38</v>
      </c>
      <c r="G58" s="39" t="s">
        <v>39</v>
      </c>
    </row>
    <row r="59" spans="1:7" x14ac:dyDescent="0.2">
      <c r="A59" s="39" t="s">
        <v>168</v>
      </c>
      <c r="B59" s="39"/>
      <c r="C59" s="39" t="s">
        <v>169</v>
      </c>
      <c r="D59" s="39" t="s">
        <v>37</v>
      </c>
      <c r="E59" s="39"/>
      <c r="F59" s="39" t="s">
        <v>38</v>
      </c>
      <c r="G59" s="39" t="s">
        <v>39</v>
      </c>
    </row>
    <row r="60" spans="1:7" x14ac:dyDescent="0.2">
      <c r="A60" s="39" t="s">
        <v>170</v>
      </c>
      <c r="B60" s="39"/>
      <c r="C60" s="39" t="s">
        <v>171</v>
      </c>
      <c r="D60" s="39" t="s">
        <v>37</v>
      </c>
      <c r="E60" s="39"/>
      <c r="F60" s="39" t="s">
        <v>38</v>
      </c>
      <c r="G60" s="39" t="s">
        <v>39</v>
      </c>
    </row>
    <row r="61" spans="1:7" x14ac:dyDescent="0.2">
      <c r="A61" s="39" t="s">
        <v>172</v>
      </c>
      <c r="B61" s="39"/>
      <c r="C61" s="39" t="s">
        <v>173</v>
      </c>
      <c r="D61" s="39" t="s">
        <v>37</v>
      </c>
      <c r="E61" s="39"/>
      <c r="F61" s="39" t="s">
        <v>38</v>
      </c>
      <c r="G61" s="39" t="s">
        <v>39</v>
      </c>
    </row>
    <row r="62" spans="1:7" x14ac:dyDescent="0.2">
      <c r="A62" s="39" t="s">
        <v>174</v>
      </c>
      <c r="B62" s="39"/>
      <c r="C62" s="39" t="s">
        <v>175</v>
      </c>
      <c r="D62" s="39" t="s">
        <v>37</v>
      </c>
      <c r="E62" s="39" t="s">
        <v>165</v>
      </c>
      <c r="F62" s="39" t="s">
        <v>38</v>
      </c>
      <c r="G62" s="39" t="s">
        <v>39</v>
      </c>
    </row>
    <row r="63" spans="1:7" x14ac:dyDescent="0.2">
      <c r="A63" s="39" t="s">
        <v>176</v>
      </c>
      <c r="B63" s="39"/>
      <c r="C63" s="39" t="s">
        <v>177</v>
      </c>
      <c r="D63" s="39" t="s">
        <v>37</v>
      </c>
      <c r="E63" s="39"/>
      <c r="F63" s="39" t="s">
        <v>43</v>
      </c>
      <c r="G63" s="39" t="s">
        <v>39</v>
      </c>
    </row>
    <row r="64" spans="1:7" x14ac:dyDescent="0.2">
      <c r="A64" s="39" t="s">
        <v>178</v>
      </c>
      <c r="B64" s="39"/>
      <c r="C64" s="39" t="s">
        <v>179</v>
      </c>
      <c r="D64" s="39" t="s">
        <v>37</v>
      </c>
      <c r="E64" s="39"/>
      <c r="F64" s="39" t="s">
        <v>100</v>
      </c>
      <c r="G64" s="39" t="s">
        <v>39</v>
      </c>
    </row>
    <row r="65" spans="1:7" x14ac:dyDescent="0.2">
      <c r="A65" s="39" t="s">
        <v>180</v>
      </c>
      <c r="B65" s="39"/>
      <c r="C65" s="39" t="s">
        <v>181</v>
      </c>
      <c r="D65" s="39" t="s">
        <v>37</v>
      </c>
      <c r="E65" s="39"/>
      <c r="F65" s="39" t="s">
        <v>43</v>
      </c>
      <c r="G65" s="39" t="s">
        <v>39</v>
      </c>
    </row>
    <row r="66" spans="1:7" x14ac:dyDescent="0.2">
      <c r="A66" s="39" t="s">
        <v>182</v>
      </c>
      <c r="B66" s="39"/>
      <c r="C66" s="39" t="s">
        <v>183</v>
      </c>
      <c r="D66" s="39" t="s">
        <v>37</v>
      </c>
      <c r="E66" s="39" t="s">
        <v>93</v>
      </c>
      <c r="F66" s="39" t="s">
        <v>43</v>
      </c>
      <c r="G66" s="39" t="s">
        <v>39</v>
      </c>
    </row>
    <row r="67" spans="1:7" x14ac:dyDescent="0.2">
      <c r="A67" s="39" t="s">
        <v>184</v>
      </c>
      <c r="B67" s="39"/>
      <c r="C67" s="39" t="s">
        <v>185</v>
      </c>
      <c r="D67" s="39" t="s">
        <v>37</v>
      </c>
      <c r="E67" s="39"/>
      <c r="F67" s="39" t="s">
        <v>38</v>
      </c>
      <c r="G67" s="39" t="s">
        <v>39</v>
      </c>
    </row>
    <row r="68" spans="1:7" x14ac:dyDescent="0.2">
      <c r="A68" s="39" t="s">
        <v>186</v>
      </c>
      <c r="B68" s="39"/>
      <c r="C68" s="39" t="s">
        <v>187</v>
      </c>
      <c r="D68" s="39" t="s">
        <v>37</v>
      </c>
      <c r="E68" s="39"/>
      <c r="F68" s="39" t="s">
        <v>38</v>
      </c>
      <c r="G68" s="39" t="s">
        <v>39</v>
      </c>
    </row>
    <row r="69" spans="1:7" x14ac:dyDescent="0.2">
      <c r="A69" s="39" t="s">
        <v>188</v>
      </c>
      <c r="B69" s="39"/>
      <c r="C69" s="39" t="s">
        <v>189</v>
      </c>
      <c r="D69" s="39" t="s">
        <v>37</v>
      </c>
      <c r="E69" s="39"/>
      <c r="F69" s="39" t="s">
        <v>38</v>
      </c>
      <c r="G69" s="39" t="s">
        <v>39</v>
      </c>
    </row>
    <row r="70" spans="1:7" x14ac:dyDescent="0.2">
      <c r="A70" s="39" t="s">
        <v>190</v>
      </c>
      <c r="B70" s="39"/>
      <c r="C70" s="39" t="s">
        <v>191</v>
      </c>
      <c r="D70" s="39" t="s">
        <v>37</v>
      </c>
      <c r="E70" s="39" t="s">
        <v>160</v>
      </c>
      <c r="F70" s="39" t="s">
        <v>38</v>
      </c>
      <c r="G70" s="39" t="s">
        <v>39</v>
      </c>
    </row>
    <row r="71" spans="1:7" x14ac:dyDescent="0.2">
      <c r="A71" s="39" t="s">
        <v>192</v>
      </c>
      <c r="B71" s="39"/>
      <c r="C71" s="39" t="s">
        <v>193</v>
      </c>
      <c r="D71" s="39" t="s">
        <v>37</v>
      </c>
      <c r="E71" s="39" t="s">
        <v>194</v>
      </c>
      <c r="F71" s="39" t="s">
        <v>38</v>
      </c>
      <c r="G71" s="39" t="s">
        <v>39</v>
      </c>
    </row>
    <row r="72" spans="1:7" x14ac:dyDescent="0.2">
      <c r="A72" s="39" t="s">
        <v>195</v>
      </c>
      <c r="B72" s="39"/>
      <c r="C72" s="39" t="s">
        <v>196</v>
      </c>
      <c r="D72" s="39" t="s">
        <v>37</v>
      </c>
      <c r="E72" s="39"/>
      <c r="F72" s="39" t="s">
        <v>38</v>
      </c>
      <c r="G72" s="39" t="s">
        <v>39</v>
      </c>
    </row>
    <row r="73" spans="1:7" x14ac:dyDescent="0.2">
      <c r="A73" s="39" t="s">
        <v>195</v>
      </c>
      <c r="B73" s="39"/>
      <c r="C73" s="39" t="s">
        <v>197</v>
      </c>
      <c r="D73" s="39" t="s">
        <v>37</v>
      </c>
      <c r="E73" s="39"/>
      <c r="F73" s="39" t="s">
        <v>38</v>
      </c>
      <c r="G73" s="39" t="s">
        <v>39</v>
      </c>
    </row>
    <row r="74" spans="1:7" x14ac:dyDescent="0.2">
      <c r="A74" s="39" t="s">
        <v>198</v>
      </c>
      <c r="B74" s="39"/>
      <c r="C74" s="39" t="s">
        <v>199</v>
      </c>
      <c r="D74" s="39" t="s">
        <v>37</v>
      </c>
      <c r="E74" s="39"/>
      <c r="F74" s="39" t="s">
        <v>100</v>
      </c>
      <c r="G74" s="39" t="s">
        <v>39</v>
      </c>
    </row>
    <row r="75" spans="1:7" x14ac:dyDescent="0.2">
      <c r="A75" s="39" t="s">
        <v>200</v>
      </c>
      <c r="B75" s="39"/>
      <c r="C75" s="39" t="s">
        <v>201</v>
      </c>
      <c r="D75" s="39" t="s">
        <v>37</v>
      </c>
      <c r="E75" s="39" t="s">
        <v>93</v>
      </c>
      <c r="F75" s="39" t="s">
        <v>43</v>
      </c>
      <c r="G75" s="39" t="s">
        <v>39</v>
      </c>
    </row>
    <row r="76" spans="1:7" x14ac:dyDescent="0.2">
      <c r="A76" s="39" t="s">
        <v>202</v>
      </c>
      <c r="B76" s="39"/>
      <c r="C76" s="39" t="s">
        <v>203</v>
      </c>
      <c r="D76" s="39" t="s">
        <v>37</v>
      </c>
      <c r="E76" s="39" t="s">
        <v>204</v>
      </c>
      <c r="F76" s="39" t="s">
        <v>43</v>
      </c>
      <c r="G76" s="39" t="s">
        <v>39</v>
      </c>
    </row>
    <row r="77" spans="1:7" x14ac:dyDescent="0.2">
      <c r="A77" s="39" t="s">
        <v>205</v>
      </c>
      <c r="B77" s="39"/>
      <c r="C77" s="39" t="s">
        <v>206</v>
      </c>
      <c r="D77" s="39" t="s">
        <v>37</v>
      </c>
      <c r="E77" s="39" t="s">
        <v>141</v>
      </c>
      <c r="F77" s="39" t="s">
        <v>38</v>
      </c>
      <c r="G77" s="39" t="s">
        <v>39</v>
      </c>
    </row>
    <row r="78" spans="1:7" x14ac:dyDescent="0.2">
      <c r="A78" s="39" t="s">
        <v>207</v>
      </c>
      <c r="B78" s="39"/>
      <c r="C78" s="39" t="s">
        <v>123</v>
      </c>
      <c r="D78" s="39" t="s">
        <v>37</v>
      </c>
      <c r="E78" s="39" t="s">
        <v>208</v>
      </c>
      <c r="F78" s="39" t="s">
        <v>38</v>
      </c>
      <c r="G78" s="39" t="s">
        <v>39</v>
      </c>
    </row>
    <row r="79" spans="1:7" x14ac:dyDescent="0.2">
      <c r="A79" s="39" t="s">
        <v>209</v>
      </c>
      <c r="B79" s="39"/>
      <c r="C79" s="39" t="s">
        <v>210</v>
      </c>
      <c r="D79" s="39" t="s">
        <v>37</v>
      </c>
      <c r="E79" s="39" t="s">
        <v>211</v>
      </c>
      <c r="F79" s="39" t="s">
        <v>43</v>
      </c>
      <c r="G79" s="39" t="s">
        <v>39</v>
      </c>
    </row>
    <row r="80" spans="1:7" x14ac:dyDescent="0.2">
      <c r="A80" s="39" t="s">
        <v>212</v>
      </c>
      <c r="B80" s="39"/>
      <c r="C80" s="39" t="s">
        <v>213</v>
      </c>
      <c r="D80" s="39" t="s">
        <v>37</v>
      </c>
      <c r="E80" s="39" t="s">
        <v>214</v>
      </c>
      <c r="F80" s="39" t="s">
        <v>38</v>
      </c>
      <c r="G80" s="39" t="s">
        <v>39</v>
      </c>
    </row>
    <row r="81" spans="1:7" x14ac:dyDescent="0.2">
      <c r="A81" s="39" t="s">
        <v>215</v>
      </c>
      <c r="B81" s="39"/>
      <c r="C81" s="39" t="s">
        <v>216</v>
      </c>
      <c r="D81" s="39" t="s">
        <v>37</v>
      </c>
      <c r="E81" s="39"/>
      <c r="F81" s="39" t="s">
        <v>38</v>
      </c>
      <c r="G81" s="39" t="s">
        <v>39</v>
      </c>
    </row>
    <row r="82" spans="1:7" x14ac:dyDescent="0.2">
      <c r="A82" s="39" t="s">
        <v>217</v>
      </c>
      <c r="B82" s="39"/>
      <c r="C82" s="39" t="s">
        <v>218</v>
      </c>
      <c r="D82" s="39" t="s">
        <v>37</v>
      </c>
      <c r="E82" s="39"/>
      <c r="F82" s="39" t="s">
        <v>38</v>
      </c>
      <c r="G82" s="39" t="s">
        <v>39</v>
      </c>
    </row>
    <row r="83" spans="1:7" x14ac:dyDescent="0.2">
      <c r="A83" s="39" t="s">
        <v>219</v>
      </c>
      <c r="B83" s="39"/>
      <c r="C83" s="39" t="s">
        <v>220</v>
      </c>
      <c r="D83" s="39" t="s">
        <v>37</v>
      </c>
      <c r="E83" s="39"/>
      <c r="F83" s="39" t="s">
        <v>38</v>
      </c>
      <c r="G83" s="39" t="s">
        <v>39</v>
      </c>
    </row>
    <row r="84" spans="1:7" x14ac:dyDescent="0.2">
      <c r="A84" s="39" t="s">
        <v>221</v>
      </c>
      <c r="B84" s="39"/>
      <c r="C84" s="39" t="s">
        <v>222</v>
      </c>
      <c r="D84" s="39" t="s">
        <v>37</v>
      </c>
      <c r="E84" s="39"/>
      <c r="F84" s="39" t="s">
        <v>38</v>
      </c>
      <c r="G84" s="39" t="s">
        <v>39</v>
      </c>
    </row>
    <row r="85" spans="1:7" x14ac:dyDescent="0.2">
      <c r="A85" s="39" t="s">
        <v>223</v>
      </c>
      <c r="B85" s="39"/>
      <c r="C85" s="39" t="s">
        <v>218</v>
      </c>
      <c r="D85" s="39" t="s">
        <v>37</v>
      </c>
      <c r="E85" s="39"/>
      <c r="F85" s="39" t="s">
        <v>38</v>
      </c>
      <c r="G85" s="39" t="s">
        <v>39</v>
      </c>
    </row>
    <row r="86" spans="1:7" x14ac:dyDescent="0.2">
      <c r="A86" s="39" t="s">
        <v>224</v>
      </c>
      <c r="B86" s="39"/>
      <c r="C86" s="39" t="s">
        <v>225</v>
      </c>
      <c r="D86" s="39" t="s">
        <v>37</v>
      </c>
      <c r="E86" s="39" t="s">
        <v>146</v>
      </c>
      <c r="F86" s="39" t="s">
        <v>38</v>
      </c>
      <c r="G86" s="39" t="s">
        <v>39</v>
      </c>
    </row>
    <row r="87" spans="1:7" x14ac:dyDescent="0.2">
      <c r="A87" s="39" t="s">
        <v>226</v>
      </c>
      <c r="B87" s="39"/>
      <c r="C87" s="39" t="s">
        <v>227</v>
      </c>
      <c r="D87" s="39" t="s">
        <v>37</v>
      </c>
      <c r="E87" s="39" t="s">
        <v>228</v>
      </c>
      <c r="F87" s="39" t="s">
        <v>38</v>
      </c>
      <c r="G87" s="39" t="s">
        <v>39</v>
      </c>
    </row>
    <row r="88" spans="1:7" x14ac:dyDescent="0.2">
      <c r="A88" s="39" t="s">
        <v>229</v>
      </c>
      <c r="B88" s="39"/>
      <c r="C88" s="39" t="s">
        <v>227</v>
      </c>
      <c r="D88" s="39" t="s">
        <v>37</v>
      </c>
      <c r="E88" s="39"/>
      <c r="F88" s="39" t="s">
        <v>38</v>
      </c>
      <c r="G88" s="39" t="s">
        <v>39</v>
      </c>
    </row>
    <row r="89" spans="1:7" x14ac:dyDescent="0.2">
      <c r="A89" s="39" t="s">
        <v>230</v>
      </c>
      <c r="B89" s="39"/>
      <c r="C89" s="39" t="s">
        <v>231</v>
      </c>
      <c r="D89" s="39" t="s">
        <v>37</v>
      </c>
      <c r="E89" s="39"/>
      <c r="F89" s="39" t="s">
        <v>38</v>
      </c>
      <c r="G89" s="39" t="s">
        <v>39</v>
      </c>
    </row>
    <row r="90" spans="1:7" x14ac:dyDescent="0.2">
      <c r="A90" s="39" t="s">
        <v>232</v>
      </c>
      <c r="B90" s="39"/>
      <c r="C90" s="39" t="s">
        <v>233</v>
      </c>
      <c r="D90" s="39" t="s">
        <v>37</v>
      </c>
      <c r="E90" s="39"/>
      <c r="F90" s="39" t="s">
        <v>38</v>
      </c>
      <c r="G90" s="39" t="s">
        <v>39</v>
      </c>
    </row>
    <row r="91" spans="1:7" x14ac:dyDescent="0.2">
      <c r="A91" s="39" t="s">
        <v>234</v>
      </c>
      <c r="B91" s="39"/>
      <c r="C91" s="39" t="s">
        <v>235</v>
      </c>
      <c r="D91" s="39" t="s">
        <v>37</v>
      </c>
      <c r="E91" s="39" t="s">
        <v>236</v>
      </c>
      <c r="F91" s="39" t="s">
        <v>43</v>
      </c>
      <c r="G91" s="39" t="s">
        <v>39</v>
      </c>
    </row>
    <row r="92" spans="1:7" x14ac:dyDescent="0.2">
      <c r="A92" s="39" t="s">
        <v>237</v>
      </c>
      <c r="B92" s="39"/>
      <c r="C92" s="39" t="s">
        <v>95</v>
      </c>
      <c r="D92" s="39" t="s">
        <v>37</v>
      </c>
      <c r="E92" s="39"/>
      <c r="F92" s="39" t="s">
        <v>43</v>
      </c>
      <c r="G92" s="39" t="s">
        <v>39</v>
      </c>
    </row>
    <row r="93" spans="1:7" x14ac:dyDescent="0.2">
      <c r="A93" s="39" t="s">
        <v>238</v>
      </c>
      <c r="B93" s="39"/>
      <c r="C93" s="39" t="s">
        <v>239</v>
      </c>
      <c r="D93" s="39" t="s">
        <v>37</v>
      </c>
      <c r="E93" s="39" t="s">
        <v>240</v>
      </c>
      <c r="F93" s="39" t="s">
        <v>43</v>
      </c>
      <c r="G93" s="39" t="s">
        <v>39</v>
      </c>
    </row>
    <row r="94" spans="1:7" x14ac:dyDescent="0.2">
      <c r="A94" s="39" t="s">
        <v>241</v>
      </c>
      <c r="B94" s="39"/>
      <c r="C94" s="39" t="s">
        <v>242</v>
      </c>
      <c r="D94" s="39" t="s">
        <v>37</v>
      </c>
      <c r="E94" s="39"/>
      <c r="F94" s="39" t="s">
        <v>43</v>
      </c>
      <c r="G94" s="39" t="s">
        <v>39</v>
      </c>
    </row>
    <row r="95" spans="1:7" x14ac:dyDescent="0.2">
      <c r="A95" s="39" t="s">
        <v>243</v>
      </c>
      <c r="B95" s="39"/>
      <c r="C95" s="39" t="s">
        <v>244</v>
      </c>
      <c r="D95" s="39" t="s">
        <v>37</v>
      </c>
      <c r="E95" s="39"/>
      <c r="F95" s="39" t="s">
        <v>38</v>
      </c>
      <c r="G95" s="39" t="s">
        <v>39</v>
      </c>
    </row>
    <row r="96" spans="1:7" x14ac:dyDescent="0.2">
      <c r="A96" s="39" t="s">
        <v>245</v>
      </c>
      <c r="B96" s="39"/>
      <c r="C96" s="39" t="s">
        <v>246</v>
      </c>
      <c r="D96" s="39" t="s">
        <v>37</v>
      </c>
      <c r="E96" s="39" t="s">
        <v>247</v>
      </c>
      <c r="F96" s="39" t="s">
        <v>43</v>
      </c>
      <c r="G96" s="39" t="s">
        <v>39</v>
      </c>
    </row>
    <row r="97" spans="1:7" x14ac:dyDescent="0.2">
      <c r="A97" s="39" t="s">
        <v>248</v>
      </c>
      <c r="B97" s="39"/>
      <c r="C97" s="39" t="s">
        <v>249</v>
      </c>
      <c r="D97" s="39" t="s">
        <v>37</v>
      </c>
      <c r="E97" s="39"/>
      <c r="F97" s="39" t="s">
        <v>43</v>
      </c>
      <c r="G97" s="39" t="s">
        <v>39</v>
      </c>
    </row>
    <row r="98" spans="1:7" x14ac:dyDescent="0.2">
      <c r="A98" s="39" t="s">
        <v>250</v>
      </c>
      <c r="B98" s="39"/>
      <c r="C98" s="39" t="s">
        <v>251</v>
      </c>
      <c r="D98" s="39" t="s">
        <v>37</v>
      </c>
      <c r="E98" s="39" t="s">
        <v>90</v>
      </c>
      <c r="F98" s="39" t="s">
        <v>43</v>
      </c>
      <c r="G98" s="39" t="s">
        <v>39</v>
      </c>
    </row>
    <row r="99" spans="1:7" x14ac:dyDescent="0.2">
      <c r="A99" s="39" t="s">
        <v>252</v>
      </c>
      <c r="B99" s="39"/>
      <c r="C99" s="39" t="s">
        <v>253</v>
      </c>
      <c r="D99" s="39" t="s">
        <v>37</v>
      </c>
      <c r="E99" s="39" t="s">
        <v>247</v>
      </c>
      <c r="F99" s="39" t="s">
        <v>43</v>
      </c>
      <c r="G99" s="39" t="s">
        <v>39</v>
      </c>
    </row>
    <row r="100" spans="1:7" x14ac:dyDescent="0.2">
      <c r="A100" s="39" t="s">
        <v>254</v>
      </c>
      <c r="B100" s="39"/>
      <c r="C100" s="39" t="s">
        <v>255</v>
      </c>
      <c r="D100" s="39" t="s">
        <v>37</v>
      </c>
      <c r="E100" s="39" t="s">
        <v>103</v>
      </c>
      <c r="F100" s="39" t="s">
        <v>43</v>
      </c>
      <c r="G100" s="39" t="s">
        <v>39</v>
      </c>
    </row>
    <row r="101" spans="1:7" x14ac:dyDescent="0.2">
      <c r="A101" s="39" t="s">
        <v>256</v>
      </c>
      <c r="B101" s="39"/>
      <c r="C101" s="39" t="s">
        <v>157</v>
      </c>
      <c r="D101" s="39" t="s">
        <v>37</v>
      </c>
      <c r="E101" s="39" t="s">
        <v>257</v>
      </c>
      <c r="F101" s="39" t="s">
        <v>43</v>
      </c>
      <c r="G101" s="39" t="s">
        <v>39</v>
      </c>
    </row>
    <row r="102" spans="1:7" x14ac:dyDescent="0.2">
      <c r="A102" s="39" t="s">
        <v>258</v>
      </c>
      <c r="B102" s="39"/>
      <c r="C102" s="39" t="s">
        <v>259</v>
      </c>
      <c r="D102" s="39" t="s">
        <v>37</v>
      </c>
      <c r="E102" s="39" t="s">
        <v>90</v>
      </c>
      <c r="F102" s="39" t="s">
        <v>43</v>
      </c>
      <c r="G102" s="39" t="s">
        <v>39</v>
      </c>
    </row>
    <row r="103" spans="1:7" x14ac:dyDescent="0.2">
      <c r="A103" s="39" t="s">
        <v>260</v>
      </c>
      <c r="B103" s="39"/>
      <c r="C103" s="39" t="s">
        <v>261</v>
      </c>
      <c r="D103" s="39" t="s">
        <v>37</v>
      </c>
      <c r="E103" s="39" t="s">
        <v>240</v>
      </c>
      <c r="F103" s="39" t="s">
        <v>38</v>
      </c>
      <c r="G103" s="39" t="s">
        <v>39</v>
      </c>
    </row>
    <row r="104" spans="1:7" x14ac:dyDescent="0.2">
      <c r="A104" s="39" t="s">
        <v>262</v>
      </c>
      <c r="B104" s="39"/>
      <c r="C104" s="39" t="s">
        <v>263</v>
      </c>
      <c r="D104" s="39" t="s">
        <v>37</v>
      </c>
      <c r="E104" s="39"/>
      <c r="F104" s="39" t="s">
        <v>43</v>
      </c>
      <c r="G104" s="39" t="s">
        <v>39</v>
      </c>
    </row>
    <row r="105" spans="1:7" x14ac:dyDescent="0.2">
      <c r="A105" s="39" t="s">
        <v>264</v>
      </c>
      <c r="B105" s="39"/>
      <c r="C105" s="39" t="s">
        <v>42</v>
      </c>
      <c r="D105" s="39" t="s">
        <v>37</v>
      </c>
      <c r="E105" s="39" t="s">
        <v>265</v>
      </c>
      <c r="F105" s="39" t="s">
        <v>43</v>
      </c>
      <c r="G105" s="39" t="s">
        <v>39</v>
      </c>
    </row>
    <row r="106" spans="1:7" x14ac:dyDescent="0.2">
      <c r="A106" s="39" t="s">
        <v>266</v>
      </c>
      <c r="B106" s="39"/>
      <c r="C106" s="39" t="s">
        <v>267</v>
      </c>
      <c r="D106" s="39" t="s">
        <v>37</v>
      </c>
      <c r="E106" s="39"/>
      <c r="F106" s="39" t="s">
        <v>43</v>
      </c>
      <c r="G106" s="39" t="s">
        <v>39</v>
      </c>
    </row>
    <row r="107" spans="1:7" x14ac:dyDescent="0.2">
      <c r="A107" s="39" t="s">
        <v>268</v>
      </c>
      <c r="B107" s="39"/>
      <c r="C107" s="39" t="s">
        <v>269</v>
      </c>
      <c r="D107" s="39" t="s">
        <v>37</v>
      </c>
      <c r="E107" s="39"/>
      <c r="F107" s="39" t="s">
        <v>43</v>
      </c>
      <c r="G107" s="39" t="s">
        <v>39</v>
      </c>
    </row>
    <row r="108" spans="1:7" x14ac:dyDescent="0.2">
      <c r="A108" s="39" t="s">
        <v>270</v>
      </c>
      <c r="B108" s="39"/>
      <c r="C108" s="39" t="s">
        <v>271</v>
      </c>
      <c r="D108" s="39" t="s">
        <v>37</v>
      </c>
      <c r="E108" s="39" t="s">
        <v>272</v>
      </c>
      <c r="F108" s="39" t="s">
        <v>43</v>
      </c>
      <c r="G108" s="39" t="s">
        <v>39</v>
      </c>
    </row>
    <row r="109" spans="1:7" x14ac:dyDescent="0.2">
      <c r="A109" s="39" t="s">
        <v>273</v>
      </c>
      <c r="B109" s="39"/>
      <c r="C109" s="39" t="s">
        <v>274</v>
      </c>
      <c r="D109" s="39" t="s">
        <v>37</v>
      </c>
      <c r="E109" s="39"/>
      <c r="F109" s="39" t="s">
        <v>43</v>
      </c>
      <c r="G109" s="39" t="s">
        <v>39</v>
      </c>
    </row>
    <row r="110" spans="1:7" x14ac:dyDescent="0.2">
      <c r="A110" s="39" t="s">
        <v>275</v>
      </c>
      <c r="B110" s="39"/>
      <c r="C110" s="39" t="s">
        <v>95</v>
      </c>
      <c r="D110" s="39" t="s">
        <v>37</v>
      </c>
      <c r="E110" s="39"/>
      <c r="F110" s="39" t="s">
        <v>38</v>
      </c>
      <c r="G110" s="39" t="s">
        <v>39</v>
      </c>
    </row>
    <row r="111" spans="1:7" x14ac:dyDescent="0.2">
      <c r="A111" s="39" t="s">
        <v>276</v>
      </c>
      <c r="B111" s="39"/>
      <c r="C111" s="39" t="s">
        <v>277</v>
      </c>
      <c r="D111" s="39" t="s">
        <v>37</v>
      </c>
      <c r="E111" s="39"/>
      <c r="F111" s="39" t="s">
        <v>38</v>
      </c>
      <c r="G111" s="39" t="s">
        <v>39</v>
      </c>
    </row>
    <row r="112" spans="1:7" x14ac:dyDescent="0.2">
      <c r="A112" s="39" t="s">
        <v>278</v>
      </c>
      <c r="B112" s="39"/>
      <c r="C112" s="39" t="s">
        <v>279</v>
      </c>
      <c r="D112" s="39" t="s">
        <v>37</v>
      </c>
      <c r="E112" s="39" t="s">
        <v>228</v>
      </c>
      <c r="F112" s="39" t="s">
        <v>38</v>
      </c>
      <c r="G112" s="39" t="s">
        <v>39</v>
      </c>
    </row>
    <row r="113" spans="1:7" x14ac:dyDescent="0.2">
      <c r="A113" s="39" t="s">
        <v>280</v>
      </c>
      <c r="B113" s="39"/>
      <c r="C113" s="39" t="s">
        <v>281</v>
      </c>
      <c r="D113" s="39" t="s">
        <v>37</v>
      </c>
      <c r="E113" s="39" t="s">
        <v>282</v>
      </c>
      <c r="F113" s="39" t="s">
        <v>43</v>
      </c>
      <c r="G113" s="39" t="s">
        <v>39</v>
      </c>
    </row>
    <row r="114" spans="1:7" x14ac:dyDescent="0.2">
      <c r="A114" s="39" t="s">
        <v>283</v>
      </c>
      <c r="B114" s="39"/>
      <c r="C114" s="39" t="s">
        <v>284</v>
      </c>
      <c r="D114" s="39" t="s">
        <v>37</v>
      </c>
      <c r="E114" s="39" t="s">
        <v>128</v>
      </c>
      <c r="F114" s="39" t="s">
        <v>43</v>
      </c>
      <c r="G114" s="39" t="s">
        <v>39</v>
      </c>
    </row>
    <row r="115" spans="1:7" x14ac:dyDescent="0.2">
      <c r="A115" s="39" t="s">
        <v>285</v>
      </c>
      <c r="B115" s="39"/>
      <c r="C115" s="39" t="s">
        <v>286</v>
      </c>
      <c r="D115" s="39" t="s">
        <v>37</v>
      </c>
      <c r="E115" s="39"/>
      <c r="F115" s="39" t="s">
        <v>43</v>
      </c>
      <c r="G115" s="39" t="s">
        <v>39</v>
      </c>
    </row>
    <row r="116" spans="1:7" x14ac:dyDescent="0.2">
      <c r="A116" s="39" t="s">
        <v>287</v>
      </c>
      <c r="B116" s="39"/>
      <c r="C116" s="39" t="s">
        <v>288</v>
      </c>
      <c r="D116" s="39" t="s">
        <v>37</v>
      </c>
      <c r="E116" s="39" t="s">
        <v>128</v>
      </c>
      <c r="F116" s="39" t="s">
        <v>38</v>
      </c>
      <c r="G116" s="39" t="s">
        <v>39</v>
      </c>
    </row>
    <row r="117" spans="1:7" x14ac:dyDescent="0.2">
      <c r="A117" s="39" t="s">
        <v>289</v>
      </c>
      <c r="B117" s="39"/>
      <c r="C117" s="39" t="s">
        <v>290</v>
      </c>
      <c r="D117" s="39" t="s">
        <v>37</v>
      </c>
      <c r="E117" s="39" t="s">
        <v>167</v>
      </c>
      <c r="F117" s="39" t="s">
        <v>43</v>
      </c>
      <c r="G117" s="39" t="s">
        <v>39</v>
      </c>
    </row>
    <row r="118" spans="1:7" x14ac:dyDescent="0.2">
      <c r="A118" s="39" t="s">
        <v>291</v>
      </c>
      <c r="B118" s="39"/>
      <c r="C118" s="39" t="s">
        <v>251</v>
      </c>
      <c r="D118" s="39" t="s">
        <v>37</v>
      </c>
      <c r="E118" s="39" t="s">
        <v>265</v>
      </c>
      <c r="F118" s="39" t="s">
        <v>38</v>
      </c>
      <c r="G118" s="39" t="s">
        <v>39</v>
      </c>
    </row>
    <row r="119" spans="1:7" x14ac:dyDescent="0.2">
      <c r="A119" s="39" t="s">
        <v>292</v>
      </c>
      <c r="B119" s="39"/>
      <c r="C119" s="39" t="s">
        <v>293</v>
      </c>
      <c r="D119" s="39" t="s">
        <v>37</v>
      </c>
      <c r="E119" s="39" t="s">
        <v>257</v>
      </c>
      <c r="F119" s="39" t="s">
        <v>43</v>
      </c>
      <c r="G119" s="39" t="s">
        <v>39</v>
      </c>
    </row>
    <row r="120" spans="1:7" x14ac:dyDescent="0.2">
      <c r="A120" s="39" t="s">
        <v>294</v>
      </c>
      <c r="B120" s="39"/>
      <c r="C120" s="39" t="s">
        <v>295</v>
      </c>
      <c r="D120" s="39" t="s">
        <v>37</v>
      </c>
      <c r="E120" s="39"/>
      <c r="F120" s="39" t="s">
        <v>43</v>
      </c>
      <c r="G120" s="39" t="s">
        <v>39</v>
      </c>
    </row>
    <row r="121" spans="1:7" x14ac:dyDescent="0.2">
      <c r="A121" s="39" t="s">
        <v>296</v>
      </c>
      <c r="B121" s="39"/>
      <c r="C121" s="39" t="s">
        <v>297</v>
      </c>
      <c r="D121" s="39" t="s">
        <v>37</v>
      </c>
      <c r="E121" s="39"/>
      <c r="F121" s="39" t="s">
        <v>100</v>
      </c>
      <c r="G121" s="39" t="s">
        <v>39</v>
      </c>
    </row>
    <row r="122" spans="1:7" x14ac:dyDescent="0.2">
      <c r="A122" s="39" t="s">
        <v>298</v>
      </c>
      <c r="B122" s="39"/>
      <c r="C122" s="39" t="s">
        <v>293</v>
      </c>
      <c r="D122" s="39" t="s">
        <v>37</v>
      </c>
      <c r="E122" s="39" t="s">
        <v>257</v>
      </c>
      <c r="F122" s="39" t="s">
        <v>43</v>
      </c>
      <c r="G122" s="39" t="s">
        <v>39</v>
      </c>
    </row>
    <row r="123" spans="1:7" x14ac:dyDescent="0.2">
      <c r="A123" s="39" t="s">
        <v>299</v>
      </c>
      <c r="B123" s="39"/>
      <c r="C123" s="39" t="s">
        <v>300</v>
      </c>
      <c r="D123" s="39" t="s">
        <v>37</v>
      </c>
      <c r="E123" s="39"/>
      <c r="F123" s="39" t="s">
        <v>43</v>
      </c>
      <c r="G123" s="39" t="s">
        <v>39</v>
      </c>
    </row>
    <row r="124" spans="1:7" x14ac:dyDescent="0.2">
      <c r="A124" s="39" t="s">
        <v>301</v>
      </c>
      <c r="B124" s="39"/>
      <c r="C124" s="39" t="s">
        <v>302</v>
      </c>
      <c r="D124" s="39" t="s">
        <v>37</v>
      </c>
      <c r="E124" s="39"/>
      <c r="F124" s="39" t="s">
        <v>43</v>
      </c>
      <c r="G124" s="39" t="s">
        <v>39</v>
      </c>
    </row>
    <row r="125" spans="1:7" x14ac:dyDescent="0.2">
      <c r="A125" s="39" t="s">
        <v>303</v>
      </c>
      <c r="B125" s="39"/>
      <c r="C125" s="39" t="s">
        <v>304</v>
      </c>
      <c r="D125" s="39" t="s">
        <v>37</v>
      </c>
      <c r="E125" s="39"/>
      <c r="F125" s="39" t="s">
        <v>43</v>
      </c>
      <c r="G125" s="39" t="s">
        <v>39</v>
      </c>
    </row>
    <row r="126" spans="1:7" x14ac:dyDescent="0.2">
      <c r="A126" s="39" t="s">
        <v>305</v>
      </c>
      <c r="B126" s="39"/>
      <c r="C126" s="39" t="s">
        <v>306</v>
      </c>
      <c r="D126" s="39" t="s">
        <v>37</v>
      </c>
      <c r="E126" s="39"/>
      <c r="F126" s="39" t="s">
        <v>100</v>
      </c>
      <c r="G126" s="39" t="s">
        <v>39</v>
      </c>
    </row>
    <row r="127" spans="1:7" x14ac:dyDescent="0.2">
      <c r="A127" s="39" t="s">
        <v>307</v>
      </c>
      <c r="B127" s="39"/>
      <c r="C127" s="39" t="s">
        <v>308</v>
      </c>
      <c r="D127" s="39" t="s">
        <v>37</v>
      </c>
      <c r="E127" s="39"/>
      <c r="F127" s="39" t="s">
        <v>38</v>
      </c>
      <c r="G127" s="39" t="s">
        <v>39</v>
      </c>
    </row>
    <row r="128" spans="1:7" x14ac:dyDescent="0.2">
      <c r="A128" s="39" t="s">
        <v>309</v>
      </c>
      <c r="B128" s="39"/>
      <c r="C128" s="39" t="s">
        <v>259</v>
      </c>
      <c r="D128" s="39" t="s">
        <v>37</v>
      </c>
      <c r="E128" s="39" t="s">
        <v>93</v>
      </c>
      <c r="F128" s="39" t="s">
        <v>38</v>
      </c>
      <c r="G128" s="39" t="s">
        <v>39</v>
      </c>
    </row>
    <row r="129" spans="1:7" x14ac:dyDescent="0.2">
      <c r="A129" s="39" t="s">
        <v>310</v>
      </c>
      <c r="B129" s="39"/>
      <c r="C129" s="39" t="s">
        <v>311</v>
      </c>
      <c r="D129" s="39" t="s">
        <v>37</v>
      </c>
      <c r="E129" s="39" t="s">
        <v>143</v>
      </c>
      <c r="F129" s="39" t="s">
        <v>38</v>
      </c>
      <c r="G129" s="39" t="s">
        <v>39</v>
      </c>
    </row>
    <row r="130" spans="1:7" x14ac:dyDescent="0.2">
      <c r="A130" s="39" t="s">
        <v>312</v>
      </c>
      <c r="B130" s="39"/>
      <c r="C130" s="39" t="s">
        <v>313</v>
      </c>
      <c r="D130" s="39" t="s">
        <v>37</v>
      </c>
      <c r="E130" s="39"/>
      <c r="F130" s="39" t="s">
        <v>38</v>
      </c>
      <c r="G130" s="39" t="s">
        <v>39</v>
      </c>
    </row>
    <row r="131" spans="1:7" x14ac:dyDescent="0.2">
      <c r="A131" s="39" t="s">
        <v>314</v>
      </c>
      <c r="B131" s="39"/>
      <c r="C131" s="39" t="s">
        <v>315</v>
      </c>
      <c r="D131" s="39" t="s">
        <v>37</v>
      </c>
      <c r="E131" s="39"/>
      <c r="F131" s="39" t="s">
        <v>43</v>
      </c>
      <c r="G131" s="39" t="s">
        <v>39</v>
      </c>
    </row>
    <row r="132" spans="1:7" x14ac:dyDescent="0.2">
      <c r="A132" s="39" t="s">
        <v>316</v>
      </c>
      <c r="B132" s="39"/>
      <c r="C132" s="39" t="s">
        <v>317</v>
      </c>
      <c r="D132" s="39" t="s">
        <v>37</v>
      </c>
      <c r="E132" s="39"/>
      <c r="F132" s="39" t="s">
        <v>43</v>
      </c>
      <c r="G132" s="39" t="s">
        <v>39</v>
      </c>
    </row>
    <row r="133" spans="1:7" x14ac:dyDescent="0.2">
      <c r="A133" s="39" t="s">
        <v>318</v>
      </c>
      <c r="B133" s="39"/>
      <c r="C133" s="39" t="s">
        <v>319</v>
      </c>
      <c r="D133" s="39" t="s">
        <v>37</v>
      </c>
      <c r="E133" s="39"/>
      <c r="F133" s="39" t="s">
        <v>38</v>
      </c>
      <c r="G133" s="39" t="s">
        <v>39</v>
      </c>
    </row>
    <row r="134" spans="1:7" x14ac:dyDescent="0.2">
      <c r="A134" s="39" t="s">
        <v>320</v>
      </c>
      <c r="B134" s="39"/>
      <c r="C134" s="39" t="s">
        <v>321</v>
      </c>
      <c r="D134" s="39" t="s">
        <v>37</v>
      </c>
      <c r="E134" s="39"/>
      <c r="F134" s="39" t="s">
        <v>38</v>
      </c>
      <c r="G134" s="39" t="s">
        <v>39</v>
      </c>
    </row>
    <row r="135" spans="1:7" x14ac:dyDescent="0.2">
      <c r="A135" s="39" t="s">
        <v>322</v>
      </c>
      <c r="B135" s="39"/>
      <c r="C135" s="39" t="s">
        <v>323</v>
      </c>
      <c r="D135" s="39" t="s">
        <v>37</v>
      </c>
      <c r="E135" s="39"/>
      <c r="F135" s="39" t="s">
        <v>38</v>
      </c>
      <c r="G135" s="39" t="s">
        <v>39</v>
      </c>
    </row>
    <row r="136" spans="1:7" x14ac:dyDescent="0.2">
      <c r="A136" s="39" t="s">
        <v>324</v>
      </c>
      <c r="B136" s="39"/>
      <c r="C136" s="39" t="s">
        <v>325</v>
      </c>
      <c r="D136" s="39" t="s">
        <v>37</v>
      </c>
      <c r="E136" s="39"/>
      <c r="F136" s="39" t="s">
        <v>43</v>
      </c>
      <c r="G136" s="39" t="s">
        <v>39</v>
      </c>
    </row>
    <row r="137" spans="1:7" x14ac:dyDescent="0.2">
      <c r="A137" s="39" t="s">
        <v>326</v>
      </c>
      <c r="B137" s="39"/>
      <c r="C137" s="39" t="s">
        <v>327</v>
      </c>
      <c r="D137" s="39" t="s">
        <v>37</v>
      </c>
      <c r="E137" s="39"/>
      <c r="F137" s="39" t="s">
        <v>38</v>
      </c>
      <c r="G137" s="39" t="s">
        <v>39</v>
      </c>
    </row>
    <row r="138" spans="1:7" x14ac:dyDescent="0.2">
      <c r="A138" s="39" t="s">
        <v>328</v>
      </c>
      <c r="B138" s="39"/>
      <c r="C138" s="39" t="s">
        <v>259</v>
      </c>
      <c r="D138" s="39" t="s">
        <v>37</v>
      </c>
      <c r="E138" s="39" t="s">
        <v>265</v>
      </c>
      <c r="F138" s="39" t="s">
        <v>38</v>
      </c>
      <c r="G138" s="39" t="s">
        <v>39</v>
      </c>
    </row>
    <row r="139" spans="1:7" x14ac:dyDescent="0.2">
      <c r="A139" s="39" t="s">
        <v>329</v>
      </c>
      <c r="B139" s="39"/>
      <c r="C139" s="39" t="s">
        <v>330</v>
      </c>
      <c r="D139" s="39" t="s">
        <v>37</v>
      </c>
      <c r="E139" s="39" t="s">
        <v>331</v>
      </c>
      <c r="F139" s="39" t="s">
        <v>38</v>
      </c>
      <c r="G139" s="39" t="s">
        <v>39</v>
      </c>
    </row>
    <row r="140" spans="1:7" x14ac:dyDescent="0.2">
      <c r="A140" s="39" t="s">
        <v>332</v>
      </c>
      <c r="B140" s="39"/>
      <c r="C140" s="39" t="s">
        <v>288</v>
      </c>
      <c r="D140" s="39" t="s">
        <v>37</v>
      </c>
      <c r="E140" s="39" t="s">
        <v>70</v>
      </c>
      <c r="F140" s="39" t="s">
        <v>38</v>
      </c>
      <c r="G140" s="39" t="s">
        <v>39</v>
      </c>
    </row>
    <row r="141" spans="1:7" x14ac:dyDescent="0.2">
      <c r="A141" s="39" t="s">
        <v>333</v>
      </c>
      <c r="B141" s="39"/>
      <c r="C141" s="39" t="s">
        <v>334</v>
      </c>
      <c r="D141" s="39" t="s">
        <v>37</v>
      </c>
      <c r="E141" s="39"/>
      <c r="F141" s="39" t="s">
        <v>38</v>
      </c>
      <c r="G141" s="39" t="s">
        <v>39</v>
      </c>
    </row>
    <row r="142" spans="1:7" x14ac:dyDescent="0.2">
      <c r="A142" s="39" t="s">
        <v>333</v>
      </c>
      <c r="B142" s="39"/>
      <c r="C142" s="39" t="s">
        <v>335</v>
      </c>
      <c r="D142" s="39" t="s">
        <v>37</v>
      </c>
      <c r="E142" s="39" t="s">
        <v>214</v>
      </c>
      <c r="F142" s="39" t="s">
        <v>38</v>
      </c>
      <c r="G142" s="39" t="s">
        <v>39</v>
      </c>
    </row>
    <row r="143" spans="1:7" x14ac:dyDescent="0.2">
      <c r="A143" s="39" t="s">
        <v>336</v>
      </c>
      <c r="B143" s="39"/>
      <c r="C143" s="39" t="s">
        <v>337</v>
      </c>
      <c r="D143" s="39" t="s">
        <v>37</v>
      </c>
      <c r="E143" s="39" t="s">
        <v>338</v>
      </c>
      <c r="F143" s="39" t="s">
        <v>38</v>
      </c>
      <c r="G143" s="39" t="s">
        <v>39</v>
      </c>
    </row>
    <row r="144" spans="1:7" x14ac:dyDescent="0.2">
      <c r="A144" s="39" t="s">
        <v>339</v>
      </c>
      <c r="B144" s="39"/>
      <c r="C144" s="39" t="s">
        <v>340</v>
      </c>
      <c r="D144" s="39" t="s">
        <v>37</v>
      </c>
      <c r="E144" s="39"/>
      <c r="F144" s="39" t="s">
        <v>43</v>
      </c>
      <c r="G144" s="39" t="s">
        <v>39</v>
      </c>
    </row>
    <row r="145" spans="1:7" x14ac:dyDescent="0.2">
      <c r="A145" s="39" t="s">
        <v>341</v>
      </c>
      <c r="B145" s="39"/>
      <c r="C145" s="39" t="s">
        <v>342</v>
      </c>
      <c r="D145" s="39" t="s">
        <v>37</v>
      </c>
      <c r="E145" s="39" t="s">
        <v>90</v>
      </c>
      <c r="F145" s="39" t="s">
        <v>38</v>
      </c>
      <c r="G145" s="39" t="s">
        <v>39</v>
      </c>
    </row>
    <row r="146" spans="1:7" x14ac:dyDescent="0.2">
      <c r="A146" s="39" t="s">
        <v>343</v>
      </c>
      <c r="B146" s="39"/>
      <c r="C146" s="39" t="s">
        <v>344</v>
      </c>
      <c r="D146" s="39" t="s">
        <v>37</v>
      </c>
      <c r="E146" s="39"/>
      <c r="F146" s="39" t="s">
        <v>38</v>
      </c>
      <c r="G146" s="39" t="s">
        <v>39</v>
      </c>
    </row>
    <row r="147" spans="1:7" x14ac:dyDescent="0.2">
      <c r="A147" s="39" t="s">
        <v>345</v>
      </c>
      <c r="B147" s="39"/>
      <c r="C147" s="39" t="s">
        <v>346</v>
      </c>
      <c r="D147" s="39" t="s">
        <v>37</v>
      </c>
      <c r="E147" s="39"/>
      <c r="F147" s="39" t="s">
        <v>43</v>
      </c>
      <c r="G147" s="39" t="s">
        <v>39</v>
      </c>
    </row>
    <row r="148" spans="1:7" x14ac:dyDescent="0.2">
      <c r="A148" s="39" t="s">
        <v>347</v>
      </c>
      <c r="B148" s="39"/>
      <c r="C148" s="39" t="s">
        <v>348</v>
      </c>
      <c r="D148" s="39" t="s">
        <v>37</v>
      </c>
      <c r="E148" s="39" t="s">
        <v>236</v>
      </c>
      <c r="F148" s="39" t="s">
        <v>38</v>
      </c>
      <c r="G148" s="39" t="s">
        <v>39</v>
      </c>
    </row>
    <row r="149" spans="1:7" x14ac:dyDescent="0.2">
      <c r="A149" s="39" t="s">
        <v>349</v>
      </c>
      <c r="B149" s="39"/>
      <c r="C149" s="39" t="s">
        <v>179</v>
      </c>
      <c r="D149" s="39" t="s">
        <v>37</v>
      </c>
      <c r="E149" s="39"/>
      <c r="F149" s="39" t="s">
        <v>43</v>
      </c>
      <c r="G149" s="39" t="s">
        <v>39</v>
      </c>
    </row>
    <row r="150" spans="1:7" x14ac:dyDescent="0.2">
      <c r="A150" s="39" t="s">
        <v>350</v>
      </c>
      <c r="B150" s="39"/>
      <c r="C150" s="39" t="s">
        <v>351</v>
      </c>
      <c r="D150" s="39" t="s">
        <v>37</v>
      </c>
      <c r="E150" s="39"/>
      <c r="F150" s="39" t="s">
        <v>38</v>
      </c>
      <c r="G150" s="39" t="s">
        <v>39</v>
      </c>
    </row>
    <row r="151" spans="1:7" x14ac:dyDescent="0.2">
      <c r="A151" s="39" t="s">
        <v>352</v>
      </c>
      <c r="B151" s="39"/>
      <c r="C151" s="39" t="s">
        <v>353</v>
      </c>
      <c r="D151" s="39" t="s">
        <v>37</v>
      </c>
      <c r="E151" s="39" t="s">
        <v>146</v>
      </c>
      <c r="F151" s="39" t="s">
        <v>43</v>
      </c>
      <c r="G151" s="39" t="s">
        <v>39</v>
      </c>
    </row>
    <row r="152" spans="1:7" x14ac:dyDescent="0.2">
      <c r="A152" s="39" t="s">
        <v>354</v>
      </c>
      <c r="B152" s="39"/>
      <c r="C152" s="39" t="s">
        <v>227</v>
      </c>
      <c r="D152" s="39" t="s">
        <v>37</v>
      </c>
      <c r="E152" s="39"/>
      <c r="F152" s="39" t="s">
        <v>38</v>
      </c>
      <c r="G152" s="39" t="s">
        <v>39</v>
      </c>
    </row>
    <row r="153" spans="1:7" x14ac:dyDescent="0.2">
      <c r="A153" s="39" t="s">
        <v>355</v>
      </c>
      <c r="B153" s="39"/>
      <c r="C153" s="39" t="s">
        <v>356</v>
      </c>
      <c r="D153" s="39" t="s">
        <v>37</v>
      </c>
      <c r="E153" s="39"/>
      <c r="F153" s="39" t="s">
        <v>38</v>
      </c>
      <c r="G153" s="39" t="s">
        <v>39</v>
      </c>
    </row>
    <row r="154" spans="1:7" x14ac:dyDescent="0.2">
      <c r="A154" s="39" t="s">
        <v>357</v>
      </c>
      <c r="B154" s="39"/>
      <c r="C154" s="39" t="s">
        <v>358</v>
      </c>
      <c r="D154" s="39" t="s">
        <v>37</v>
      </c>
      <c r="E154" s="39" t="s">
        <v>359</v>
      </c>
      <c r="F154" s="39" t="s">
        <v>38</v>
      </c>
      <c r="G154" s="39" t="s">
        <v>39</v>
      </c>
    </row>
    <row r="155" spans="1:7" x14ac:dyDescent="0.2">
      <c r="A155" s="39" t="s">
        <v>360</v>
      </c>
      <c r="B155" s="39"/>
      <c r="C155" s="39" t="s">
        <v>361</v>
      </c>
      <c r="D155" s="39" t="s">
        <v>37</v>
      </c>
      <c r="E155" s="39"/>
      <c r="F155" s="39" t="s">
        <v>43</v>
      </c>
      <c r="G155" s="39" t="s">
        <v>39</v>
      </c>
    </row>
    <row r="156" spans="1:7" x14ac:dyDescent="0.2">
      <c r="A156" s="39" t="s">
        <v>362</v>
      </c>
      <c r="B156" s="39"/>
      <c r="C156" s="39" t="s">
        <v>363</v>
      </c>
      <c r="D156" s="39" t="s">
        <v>37</v>
      </c>
      <c r="E156" s="39"/>
      <c r="F156" s="39" t="s">
        <v>38</v>
      </c>
      <c r="G156" s="39" t="s">
        <v>39</v>
      </c>
    </row>
    <row r="157" spans="1:7" x14ac:dyDescent="0.2">
      <c r="A157" s="39" t="s">
        <v>364</v>
      </c>
      <c r="B157" s="39"/>
      <c r="C157" s="39" t="s">
        <v>365</v>
      </c>
      <c r="D157" s="39" t="s">
        <v>37</v>
      </c>
      <c r="E157" s="39"/>
      <c r="F157" s="39" t="s">
        <v>38</v>
      </c>
      <c r="G157" s="39" t="s">
        <v>39</v>
      </c>
    </row>
    <row r="158" spans="1:7" x14ac:dyDescent="0.2">
      <c r="A158" s="39" t="s">
        <v>366</v>
      </c>
      <c r="B158" s="39"/>
      <c r="C158" s="39" t="s">
        <v>367</v>
      </c>
      <c r="D158" s="39" t="s">
        <v>37</v>
      </c>
      <c r="E158" s="39" t="s">
        <v>368</v>
      </c>
      <c r="F158" s="39" t="s">
        <v>38</v>
      </c>
      <c r="G158" s="39" t="s">
        <v>39</v>
      </c>
    </row>
    <row r="159" spans="1:7" x14ac:dyDescent="0.2">
      <c r="A159" s="39" t="s">
        <v>369</v>
      </c>
      <c r="B159" s="39"/>
      <c r="C159" s="39" t="s">
        <v>370</v>
      </c>
      <c r="D159" s="39" t="s">
        <v>37</v>
      </c>
      <c r="E159" s="39"/>
      <c r="F159" s="39" t="s">
        <v>38</v>
      </c>
      <c r="G159" s="39" t="s">
        <v>39</v>
      </c>
    </row>
    <row r="160" spans="1:7" x14ac:dyDescent="0.2">
      <c r="A160" s="39" t="s">
        <v>371</v>
      </c>
      <c r="B160" s="39"/>
      <c r="C160" s="39" t="s">
        <v>372</v>
      </c>
      <c r="D160" s="39" t="s">
        <v>37</v>
      </c>
      <c r="E160" s="39" t="s">
        <v>128</v>
      </c>
      <c r="F160" s="39" t="s">
        <v>38</v>
      </c>
      <c r="G160" s="39" t="s">
        <v>39</v>
      </c>
    </row>
    <row r="161" spans="1:7" x14ac:dyDescent="0.2">
      <c r="A161" s="39" t="s">
        <v>373</v>
      </c>
      <c r="B161" s="39"/>
      <c r="C161" s="39" t="s">
        <v>374</v>
      </c>
      <c r="D161" s="39" t="s">
        <v>37</v>
      </c>
      <c r="E161" s="39"/>
      <c r="F161" s="39" t="s">
        <v>43</v>
      </c>
      <c r="G161" s="39" t="s">
        <v>39</v>
      </c>
    </row>
    <row r="162" spans="1:7" x14ac:dyDescent="0.2">
      <c r="A162" s="39" t="s">
        <v>375</v>
      </c>
      <c r="B162" s="39"/>
      <c r="C162" s="39" t="s">
        <v>376</v>
      </c>
      <c r="D162" s="39" t="s">
        <v>37</v>
      </c>
      <c r="E162" s="39"/>
      <c r="F162" s="39" t="s">
        <v>43</v>
      </c>
      <c r="G162" s="39" t="s">
        <v>39</v>
      </c>
    </row>
    <row r="163" spans="1:7" x14ac:dyDescent="0.2">
      <c r="A163" s="39" t="s">
        <v>377</v>
      </c>
      <c r="B163" s="39"/>
      <c r="C163" s="39" t="s">
        <v>378</v>
      </c>
      <c r="D163" s="39" t="s">
        <v>37</v>
      </c>
      <c r="E163" s="39"/>
      <c r="F163" s="39" t="s">
        <v>43</v>
      </c>
      <c r="G163" s="39" t="s">
        <v>39</v>
      </c>
    </row>
    <row r="164" spans="1:7" x14ac:dyDescent="0.2">
      <c r="A164" s="39" t="s">
        <v>379</v>
      </c>
      <c r="B164" s="39"/>
      <c r="C164" s="39" t="s">
        <v>380</v>
      </c>
      <c r="D164" s="39" t="s">
        <v>37</v>
      </c>
      <c r="E164" s="39"/>
      <c r="F164" s="39" t="s">
        <v>38</v>
      </c>
      <c r="G164" s="39" t="s">
        <v>39</v>
      </c>
    </row>
    <row r="165" spans="1:7" x14ac:dyDescent="0.2">
      <c r="A165" s="39" t="s">
        <v>381</v>
      </c>
      <c r="B165" s="39"/>
      <c r="C165" s="39" t="s">
        <v>382</v>
      </c>
      <c r="D165" s="39" t="s">
        <v>37</v>
      </c>
      <c r="E165" s="39" t="s">
        <v>141</v>
      </c>
      <c r="F165" s="39" t="s">
        <v>38</v>
      </c>
      <c r="G165" s="39" t="s">
        <v>39</v>
      </c>
    </row>
    <row r="166" spans="1:7" x14ac:dyDescent="0.2">
      <c r="A166" s="39" t="s">
        <v>383</v>
      </c>
      <c r="B166" s="39"/>
      <c r="C166" s="39" t="s">
        <v>87</v>
      </c>
      <c r="D166" s="39" t="s">
        <v>37</v>
      </c>
      <c r="E166" s="39" t="s">
        <v>160</v>
      </c>
      <c r="F166" s="39" t="s">
        <v>38</v>
      </c>
      <c r="G166" s="39" t="s">
        <v>39</v>
      </c>
    </row>
    <row r="167" spans="1:7" x14ac:dyDescent="0.2">
      <c r="A167" s="39" t="s">
        <v>384</v>
      </c>
      <c r="B167" s="39"/>
      <c r="C167" s="39" t="s">
        <v>385</v>
      </c>
      <c r="D167" s="39" t="s">
        <v>37</v>
      </c>
      <c r="E167" s="39"/>
      <c r="F167" s="39" t="s">
        <v>43</v>
      </c>
      <c r="G167" s="39" t="s">
        <v>39</v>
      </c>
    </row>
    <row r="168" spans="1:7" x14ac:dyDescent="0.2">
      <c r="A168" s="39" t="s">
        <v>386</v>
      </c>
      <c r="B168" s="39"/>
      <c r="C168" s="39" t="s">
        <v>387</v>
      </c>
      <c r="D168" s="39" t="s">
        <v>37</v>
      </c>
      <c r="E168" s="39"/>
      <c r="F168" s="39" t="s">
        <v>43</v>
      </c>
      <c r="G168" s="39" t="s">
        <v>39</v>
      </c>
    </row>
    <row r="169" spans="1:7" x14ac:dyDescent="0.2">
      <c r="A169" s="39" t="s">
        <v>388</v>
      </c>
      <c r="B169" s="39"/>
      <c r="C169" s="39" t="s">
        <v>389</v>
      </c>
      <c r="D169" s="39" t="s">
        <v>37</v>
      </c>
      <c r="E169" s="39"/>
      <c r="F169" s="39" t="s">
        <v>43</v>
      </c>
      <c r="G169" s="39" t="s">
        <v>39</v>
      </c>
    </row>
    <row r="170" spans="1:7" x14ac:dyDescent="0.2">
      <c r="A170" s="39" t="s">
        <v>390</v>
      </c>
      <c r="B170" s="39"/>
      <c r="C170" s="39" t="s">
        <v>391</v>
      </c>
      <c r="D170" s="39" t="s">
        <v>37</v>
      </c>
      <c r="E170" s="39"/>
      <c r="F170" s="39" t="s">
        <v>43</v>
      </c>
      <c r="G170" s="39" t="s">
        <v>39</v>
      </c>
    </row>
    <row r="171" spans="1:7" x14ac:dyDescent="0.2">
      <c r="A171" s="39" t="s">
        <v>392</v>
      </c>
      <c r="B171" s="39"/>
      <c r="C171" s="39" t="s">
        <v>393</v>
      </c>
      <c r="D171" s="39" t="s">
        <v>37</v>
      </c>
      <c r="E171" s="39"/>
      <c r="F171" s="39" t="s">
        <v>43</v>
      </c>
      <c r="G171" s="39" t="s">
        <v>39</v>
      </c>
    </row>
    <row r="172" spans="1:7" x14ac:dyDescent="0.2">
      <c r="A172" s="39" t="s">
        <v>394</v>
      </c>
      <c r="B172" s="39"/>
      <c r="C172" s="39" t="s">
        <v>395</v>
      </c>
      <c r="D172" s="39" t="s">
        <v>37</v>
      </c>
      <c r="E172" s="39" t="s">
        <v>396</v>
      </c>
      <c r="F172" s="39" t="s">
        <v>43</v>
      </c>
      <c r="G172" s="39" t="s">
        <v>39</v>
      </c>
    </row>
    <row r="173" spans="1:7" x14ac:dyDescent="0.2">
      <c r="A173" s="39" t="s">
        <v>397</v>
      </c>
      <c r="B173" s="39"/>
      <c r="C173" s="39" t="s">
        <v>398</v>
      </c>
      <c r="D173" s="39" t="s">
        <v>37</v>
      </c>
      <c r="E173" s="39"/>
      <c r="F173" s="39" t="s">
        <v>43</v>
      </c>
      <c r="G173" s="39" t="s">
        <v>39</v>
      </c>
    </row>
    <row r="174" spans="1:7" x14ac:dyDescent="0.2">
      <c r="A174" s="39" t="s">
        <v>399</v>
      </c>
      <c r="B174" s="39"/>
      <c r="C174" s="39" t="s">
        <v>199</v>
      </c>
      <c r="D174" s="39" t="s">
        <v>37</v>
      </c>
      <c r="E174" s="39" t="s">
        <v>103</v>
      </c>
      <c r="F174" s="39" t="s">
        <v>43</v>
      </c>
      <c r="G174" s="39" t="s">
        <v>39</v>
      </c>
    </row>
    <row r="175" spans="1:7" x14ac:dyDescent="0.2">
      <c r="A175" s="39" t="s">
        <v>400</v>
      </c>
      <c r="B175" s="39"/>
      <c r="C175" s="39" t="s">
        <v>401</v>
      </c>
      <c r="D175" s="39" t="s">
        <v>37</v>
      </c>
      <c r="E175" s="39"/>
      <c r="F175" s="39" t="s">
        <v>43</v>
      </c>
      <c r="G175" s="39" t="s">
        <v>39</v>
      </c>
    </row>
    <row r="176" spans="1:7" x14ac:dyDescent="0.2">
      <c r="A176" s="39" t="s">
        <v>402</v>
      </c>
      <c r="B176" s="39"/>
      <c r="C176" s="39" t="s">
        <v>403</v>
      </c>
      <c r="D176" s="39" t="s">
        <v>37</v>
      </c>
      <c r="E176" s="39"/>
      <c r="F176" s="39" t="s">
        <v>43</v>
      </c>
      <c r="G176" s="39" t="s">
        <v>39</v>
      </c>
    </row>
    <row r="177" spans="1:7" x14ac:dyDescent="0.2">
      <c r="A177" s="39" t="s">
        <v>404</v>
      </c>
      <c r="B177" s="39"/>
      <c r="C177" s="39" t="s">
        <v>405</v>
      </c>
      <c r="D177" s="39" t="s">
        <v>37</v>
      </c>
      <c r="E177" s="39" t="s">
        <v>236</v>
      </c>
      <c r="F177" s="39" t="s">
        <v>38</v>
      </c>
      <c r="G177" s="39" t="s">
        <v>39</v>
      </c>
    </row>
    <row r="178" spans="1:7" x14ac:dyDescent="0.2">
      <c r="A178" s="39" t="s">
        <v>406</v>
      </c>
      <c r="B178" s="39"/>
      <c r="C178" s="39" t="s">
        <v>407</v>
      </c>
      <c r="D178" s="39" t="s">
        <v>37</v>
      </c>
      <c r="E178" s="39"/>
      <c r="F178" s="39" t="s">
        <v>43</v>
      </c>
      <c r="G178" s="39" t="s">
        <v>39</v>
      </c>
    </row>
    <row r="179" spans="1:7" x14ac:dyDescent="0.2">
      <c r="A179" s="39" t="s">
        <v>408</v>
      </c>
      <c r="B179" s="39"/>
      <c r="C179" s="39" t="s">
        <v>409</v>
      </c>
      <c r="D179" s="39" t="s">
        <v>37</v>
      </c>
      <c r="E179" s="39"/>
      <c r="F179" s="39" t="s">
        <v>43</v>
      </c>
      <c r="G179" s="39" t="s">
        <v>39</v>
      </c>
    </row>
    <row r="180" spans="1:7" x14ac:dyDescent="0.2">
      <c r="A180" s="39" t="s">
        <v>410</v>
      </c>
      <c r="B180" s="39"/>
      <c r="C180" s="39" t="s">
        <v>411</v>
      </c>
      <c r="D180" s="39" t="s">
        <v>37</v>
      </c>
      <c r="E180" s="39"/>
      <c r="F180" s="39" t="s">
        <v>43</v>
      </c>
      <c r="G180" s="39" t="s">
        <v>39</v>
      </c>
    </row>
    <row r="181" spans="1:7" x14ac:dyDescent="0.2">
      <c r="A181" s="39" t="s">
        <v>412</v>
      </c>
      <c r="B181" s="39"/>
      <c r="C181" s="39" t="s">
        <v>413</v>
      </c>
      <c r="D181" s="39" t="s">
        <v>37</v>
      </c>
      <c r="E181" s="39" t="s">
        <v>265</v>
      </c>
      <c r="F181" s="39" t="s">
        <v>38</v>
      </c>
      <c r="G181" s="39" t="s">
        <v>39</v>
      </c>
    </row>
    <row r="182" spans="1:7" x14ac:dyDescent="0.2">
      <c r="A182" s="39" t="s">
        <v>412</v>
      </c>
      <c r="B182" s="39"/>
      <c r="C182" s="39" t="s">
        <v>414</v>
      </c>
      <c r="D182" s="39" t="s">
        <v>37</v>
      </c>
      <c r="E182" s="39"/>
      <c r="F182" s="39" t="s">
        <v>38</v>
      </c>
      <c r="G182" s="39" t="s">
        <v>39</v>
      </c>
    </row>
    <row r="183" spans="1:7" x14ac:dyDescent="0.2">
      <c r="A183" s="39" t="s">
        <v>415</v>
      </c>
      <c r="B183" s="39"/>
      <c r="C183" s="39" t="s">
        <v>416</v>
      </c>
      <c r="D183" s="39" t="s">
        <v>37</v>
      </c>
      <c r="E183" s="39" t="s">
        <v>135</v>
      </c>
      <c r="F183" s="39" t="s">
        <v>43</v>
      </c>
      <c r="G183" s="39" t="s">
        <v>39</v>
      </c>
    </row>
    <row r="184" spans="1:7" x14ac:dyDescent="0.2">
      <c r="A184" s="39" t="s">
        <v>417</v>
      </c>
      <c r="B184" s="39"/>
      <c r="C184" s="39" t="s">
        <v>418</v>
      </c>
      <c r="D184" s="39" t="s">
        <v>37</v>
      </c>
      <c r="E184" s="39" t="s">
        <v>143</v>
      </c>
      <c r="F184" s="39" t="s">
        <v>43</v>
      </c>
      <c r="G184" s="39" t="s">
        <v>39</v>
      </c>
    </row>
    <row r="185" spans="1:7" x14ac:dyDescent="0.2">
      <c r="A185" s="39" t="s">
        <v>419</v>
      </c>
      <c r="B185" s="39"/>
      <c r="C185" s="39" t="s">
        <v>420</v>
      </c>
      <c r="D185" s="39" t="s">
        <v>37</v>
      </c>
      <c r="E185" s="39"/>
      <c r="F185" s="39" t="s">
        <v>43</v>
      </c>
      <c r="G185" s="39" t="s">
        <v>39</v>
      </c>
    </row>
    <row r="186" spans="1:7" x14ac:dyDescent="0.2">
      <c r="A186" s="39" t="s">
        <v>421</v>
      </c>
      <c r="B186" s="39"/>
      <c r="C186" s="39" t="s">
        <v>422</v>
      </c>
      <c r="D186" s="39" t="s">
        <v>37</v>
      </c>
      <c r="E186" s="39"/>
      <c r="F186" s="39" t="s">
        <v>43</v>
      </c>
      <c r="G186" s="39" t="s">
        <v>39</v>
      </c>
    </row>
    <row r="187" spans="1:7" x14ac:dyDescent="0.2">
      <c r="A187" s="39" t="s">
        <v>423</v>
      </c>
      <c r="B187" s="39"/>
      <c r="C187" s="39" t="s">
        <v>424</v>
      </c>
      <c r="D187" s="39" t="s">
        <v>37</v>
      </c>
      <c r="E187" s="39"/>
      <c r="F187" s="39" t="s">
        <v>43</v>
      </c>
      <c r="G187" s="39" t="s">
        <v>39</v>
      </c>
    </row>
    <row r="188" spans="1:7" x14ac:dyDescent="0.2">
      <c r="A188" s="39" t="s">
        <v>425</v>
      </c>
      <c r="B188" s="39"/>
      <c r="C188" s="39" t="s">
        <v>426</v>
      </c>
      <c r="D188" s="39" t="s">
        <v>37</v>
      </c>
      <c r="E188" s="39" t="s">
        <v>265</v>
      </c>
      <c r="F188" s="39" t="s">
        <v>43</v>
      </c>
      <c r="G188" s="39" t="s">
        <v>39</v>
      </c>
    </row>
    <row r="189" spans="1:7" x14ac:dyDescent="0.2">
      <c r="A189" s="39" t="s">
        <v>427</v>
      </c>
      <c r="B189" s="39"/>
      <c r="C189" s="39" t="s">
        <v>428</v>
      </c>
      <c r="D189" s="39" t="s">
        <v>37</v>
      </c>
      <c r="E189" s="39"/>
      <c r="F189" s="39" t="s">
        <v>43</v>
      </c>
      <c r="G189" s="39" t="s">
        <v>39</v>
      </c>
    </row>
    <row r="190" spans="1:7" x14ac:dyDescent="0.2">
      <c r="A190" s="39" t="s">
        <v>429</v>
      </c>
      <c r="B190" s="39"/>
      <c r="C190" s="39" t="s">
        <v>430</v>
      </c>
      <c r="D190" s="39" t="s">
        <v>37</v>
      </c>
      <c r="E190" s="39" t="s">
        <v>153</v>
      </c>
      <c r="F190" s="39" t="s">
        <v>43</v>
      </c>
      <c r="G190" s="39" t="s">
        <v>39</v>
      </c>
    </row>
    <row r="191" spans="1:7" x14ac:dyDescent="0.2">
      <c r="A191" s="39" t="s">
        <v>431</v>
      </c>
      <c r="B191" s="39"/>
      <c r="C191" s="39" t="s">
        <v>432</v>
      </c>
      <c r="D191" s="39" t="s">
        <v>37</v>
      </c>
      <c r="E191" s="39" t="s">
        <v>433</v>
      </c>
      <c r="F191" s="39" t="s">
        <v>43</v>
      </c>
      <c r="G191" s="39" t="s">
        <v>39</v>
      </c>
    </row>
    <row r="192" spans="1:7" x14ac:dyDescent="0.2">
      <c r="A192" s="39" t="s">
        <v>434</v>
      </c>
      <c r="B192" s="39"/>
      <c r="C192" s="39" t="s">
        <v>435</v>
      </c>
      <c r="D192" s="39" t="s">
        <v>37</v>
      </c>
      <c r="E192" s="39" t="s">
        <v>115</v>
      </c>
      <c r="F192" s="39" t="s">
        <v>43</v>
      </c>
      <c r="G192" s="39" t="s">
        <v>39</v>
      </c>
    </row>
    <row r="193" spans="1:7" x14ac:dyDescent="0.2">
      <c r="A193" s="39" t="s">
        <v>436</v>
      </c>
      <c r="B193" s="39"/>
      <c r="C193" s="39" t="s">
        <v>437</v>
      </c>
      <c r="D193" s="39" t="s">
        <v>37</v>
      </c>
      <c r="E193" s="39" t="s">
        <v>90</v>
      </c>
      <c r="F193" s="39" t="s">
        <v>43</v>
      </c>
      <c r="G193" s="39" t="s">
        <v>39</v>
      </c>
    </row>
    <row r="194" spans="1:7" x14ac:dyDescent="0.2">
      <c r="A194" s="39" t="s">
        <v>438</v>
      </c>
      <c r="B194" s="39"/>
      <c r="C194" s="39" t="s">
        <v>439</v>
      </c>
      <c r="D194" s="39" t="s">
        <v>37</v>
      </c>
      <c r="E194" s="39"/>
      <c r="F194" s="39" t="s">
        <v>43</v>
      </c>
      <c r="G194" s="39" t="s">
        <v>39</v>
      </c>
    </row>
    <row r="195" spans="1:7" x14ac:dyDescent="0.2">
      <c r="A195" s="39" t="s">
        <v>440</v>
      </c>
      <c r="B195" s="39"/>
      <c r="C195" s="39" t="s">
        <v>441</v>
      </c>
      <c r="D195" s="39" t="s">
        <v>37</v>
      </c>
      <c r="E195" s="39" t="s">
        <v>240</v>
      </c>
      <c r="F195" s="39" t="s">
        <v>43</v>
      </c>
      <c r="G195" s="39" t="s">
        <v>39</v>
      </c>
    </row>
    <row r="196" spans="1:7" x14ac:dyDescent="0.2">
      <c r="A196" s="39" t="s">
        <v>442</v>
      </c>
      <c r="B196" s="39"/>
      <c r="C196" s="39" t="s">
        <v>443</v>
      </c>
      <c r="D196" s="39" t="s">
        <v>37</v>
      </c>
      <c r="E196" s="39"/>
      <c r="F196" s="39" t="s">
        <v>43</v>
      </c>
      <c r="G196" s="39" t="s">
        <v>39</v>
      </c>
    </row>
    <row r="197" spans="1:7" x14ac:dyDescent="0.2">
      <c r="A197" s="39" t="s">
        <v>444</v>
      </c>
      <c r="B197" s="39"/>
      <c r="C197" s="39" t="s">
        <v>445</v>
      </c>
      <c r="D197" s="39" t="s">
        <v>37</v>
      </c>
      <c r="E197" s="39" t="s">
        <v>338</v>
      </c>
      <c r="F197" s="39" t="s">
        <v>43</v>
      </c>
      <c r="G197" s="39" t="s">
        <v>39</v>
      </c>
    </row>
    <row r="198" spans="1:7" x14ac:dyDescent="0.2">
      <c r="A198" s="39" t="s">
        <v>446</v>
      </c>
      <c r="B198" s="39"/>
      <c r="C198" s="39" t="s">
        <v>447</v>
      </c>
      <c r="D198" s="39" t="s">
        <v>37</v>
      </c>
      <c r="E198" s="39" t="s">
        <v>194</v>
      </c>
      <c r="F198" s="39" t="s">
        <v>38</v>
      </c>
      <c r="G198" s="39" t="s">
        <v>39</v>
      </c>
    </row>
    <row r="199" spans="1:7" x14ac:dyDescent="0.2">
      <c r="A199" s="39" t="s">
        <v>448</v>
      </c>
      <c r="B199" s="39"/>
      <c r="C199" s="39" t="s">
        <v>449</v>
      </c>
      <c r="D199" s="39" t="s">
        <v>37</v>
      </c>
      <c r="E199" s="39" t="s">
        <v>265</v>
      </c>
      <c r="F199" s="39" t="s">
        <v>38</v>
      </c>
      <c r="G199" s="39" t="s">
        <v>39</v>
      </c>
    </row>
    <row r="200" spans="1:7" x14ac:dyDescent="0.2">
      <c r="A200" s="39" t="s">
        <v>450</v>
      </c>
      <c r="B200" s="39"/>
      <c r="C200" s="39" t="s">
        <v>451</v>
      </c>
      <c r="D200" s="39" t="s">
        <v>37</v>
      </c>
      <c r="E200" s="39"/>
      <c r="F200" s="39" t="s">
        <v>38</v>
      </c>
      <c r="G200" s="39" t="s">
        <v>39</v>
      </c>
    </row>
    <row r="201" spans="1:7" x14ac:dyDescent="0.2">
      <c r="A201" s="39" t="s">
        <v>452</v>
      </c>
      <c r="B201" s="39"/>
      <c r="C201" s="39" t="s">
        <v>453</v>
      </c>
      <c r="D201" s="39" t="s">
        <v>37</v>
      </c>
      <c r="E201" s="39"/>
      <c r="F201" s="39" t="s">
        <v>38</v>
      </c>
      <c r="G201" s="39" t="s">
        <v>39</v>
      </c>
    </row>
    <row r="202" spans="1:7" x14ac:dyDescent="0.2">
      <c r="A202" s="39" t="s">
        <v>454</v>
      </c>
      <c r="B202" s="39"/>
      <c r="C202" s="39" t="s">
        <v>261</v>
      </c>
      <c r="D202" s="39" t="s">
        <v>37</v>
      </c>
      <c r="E202" s="39"/>
      <c r="F202" s="39" t="s">
        <v>38</v>
      </c>
      <c r="G202" s="39" t="s">
        <v>39</v>
      </c>
    </row>
    <row r="203" spans="1:7" x14ac:dyDescent="0.2">
      <c r="A203" s="39" t="s">
        <v>455</v>
      </c>
      <c r="B203" s="39"/>
      <c r="C203" s="39" t="s">
        <v>164</v>
      </c>
      <c r="D203" s="39" t="s">
        <v>37</v>
      </c>
      <c r="E203" s="39"/>
      <c r="F203" s="39" t="s">
        <v>38</v>
      </c>
      <c r="G203" s="39" t="s">
        <v>39</v>
      </c>
    </row>
    <row r="204" spans="1:7" x14ac:dyDescent="0.2">
      <c r="A204" s="39" t="s">
        <v>456</v>
      </c>
      <c r="B204" s="39"/>
      <c r="C204" s="39" t="s">
        <v>457</v>
      </c>
      <c r="D204" s="39" t="s">
        <v>37</v>
      </c>
      <c r="E204" s="39"/>
      <c r="F204" s="39" t="s">
        <v>38</v>
      </c>
      <c r="G204" s="39" t="s">
        <v>39</v>
      </c>
    </row>
    <row r="205" spans="1:7" x14ac:dyDescent="0.2">
      <c r="A205" s="39" t="s">
        <v>458</v>
      </c>
      <c r="B205" s="39"/>
      <c r="C205" s="39" t="s">
        <v>459</v>
      </c>
      <c r="D205" s="39" t="s">
        <v>37</v>
      </c>
      <c r="E205" s="39"/>
      <c r="F205" s="39" t="s">
        <v>38</v>
      </c>
      <c r="G205" s="39" t="s">
        <v>39</v>
      </c>
    </row>
    <row r="206" spans="1:7" x14ac:dyDescent="0.2">
      <c r="A206" s="39" t="s">
        <v>460</v>
      </c>
      <c r="B206" s="39"/>
      <c r="C206" s="39" t="s">
        <v>157</v>
      </c>
      <c r="D206" s="39" t="s">
        <v>37</v>
      </c>
      <c r="E206" s="39"/>
      <c r="F206" s="39" t="s">
        <v>38</v>
      </c>
      <c r="G206" s="39" t="s">
        <v>39</v>
      </c>
    </row>
    <row r="207" spans="1:7" x14ac:dyDescent="0.2">
      <c r="A207" s="39" t="s">
        <v>461</v>
      </c>
      <c r="B207" s="39"/>
      <c r="C207" s="39" t="s">
        <v>462</v>
      </c>
      <c r="D207" s="39" t="s">
        <v>37</v>
      </c>
      <c r="E207" s="39" t="s">
        <v>208</v>
      </c>
      <c r="F207" s="39" t="s">
        <v>43</v>
      </c>
      <c r="G207" s="39" t="s">
        <v>39</v>
      </c>
    </row>
    <row r="208" spans="1:7" x14ac:dyDescent="0.2">
      <c r="A208" s="39" t="s">
        <v>463</v>
      </c>
      <c r="B208" s="39"/>
      <c r="C208" s="39" t="s">
        <v>464</v>
      </c>
      <c r="D208" s="39" t="s">
        <v>37</v>
      </c>
      <c r="E208" s="39"/>
      <c r="F208" s="39" t="s">
        <v>43</v>
      </c>
      <c r="G208" s="39" t="s">
        <v>39</v>
      </c>
    </row>
    <row r="209" spans="1:7" x14ac:dyDescent="0.2">
      <c r="A209" s="39" t="s">
        <v>465</v>
      </c>
      <c r="B209" s="39"/>
      <c r="C209" s="39" t="s">
        <v>466</v>
      </c>
      <c r="D209" s="39" t="s">
        <v>37</v>
      </c>
      <c r="E209" s="39" t="s">
        <v>115</v>
      </c>
      <c r="F209" s="39" t="s">
        <v>43</v>
      </c>
      <c r="G209" s="39" t="s">
        <v>39</v>
      </c>
    </row>
    <row r="210" spans="1:7" x14ac:dyDescent="0.2">
      <c r="A210" s="39" t="s">
        <v>467</v>
      </c>
      <c r="B210" s="39"/>
      <c r="C210" s="39" t="s">
        <v>468</v>
      </c>
      <c r="D210" s="39" t="s">
        <v>37</v>
      </c>
      <c r="E210" s="39" t="s">
        <v>240</v>
      </c>
      <c r="F210" s="39" t="s">
        <v>38</v>
      </c>
      <c r="G210" s="39" t="s">
        <v>39</v>
      </c>
    </row>
    <row r="211" spans="1:7" x14ac:dyDescent="0.2">
      <c r="A211" s="39" t="s">
        <v>469</v>
      </c>
      <c r="B211" s="39"/>
      <c r="C211" s="39" t="s">
        <v>470</v>
      </c>
      <c r="D211" s="39" t="s">
        <v>37</v>
      </c>
      <c r="E211" s="39" t="s">
        <v>115</v>
      </c>
      <c r="F211" s="39" t="s">
        <v>38</v>
      </c>
      <c r="G211" s="39" t="s">
        <v>39</v>
      </c>
    </row>
    <row r="212" spans="1:7" x14ac:dyDescent="0.2">
      <c r="A212" s="39" t="s">
        <v>471</v>
      </c>
      <c r="B212" s="39"/>
      <c r="C212" s="39" t="s">
        <v>169</v>
      </c>
      <c r="D212" s="39" t="s">
        <v>37</v>
      </c>
      <c r="E212" s="39" t="s">
        <v>128</v>
      </c>
      <c r="F212" s="39" t="s">
        <v>38</v>
      </c>
      <c r="G212" s="39" t="s">
        <v>39</v>
      </c>
    </row>
    <row r="213" spans="1:7" x14ac:dyDescent="0.2">
      <c r="A213" s="39" t="s">
        <v>472</v>
      </c>
      <c r="B213" s="39"/>
      <c r="C213" s="39" t="s">
        <v>473</v>
      </c>
      <c r="D213" s="39" t="s">
        <v>37</v>
      </c>
      <c r="E213" s="39" t="s">
        <v>143</v>
      </c>
      <c r="F213" s="39" t="s">
        <v>38</v>
      </c>
      <c r="G213" s="39" t="s">
        <v>39</v>
      </c>
    </row>
    <row r="214" spans="1:7" x14ac:dyDescent="0.2">
      <c r="A214" s="39" t="s">
        <v>474</v>
      </c>
      <c r="B214" s="39"/>
      <c r="C214" s="39" t="s">
        <v>475</v>
      </c>
      <c r="D214" s="39" t="s">
        <v>37</v>
      </c>
      <c r="E214" s="39" t="s">
        <v>211</v>
      </c>
      <c r="F214" s="39" t="s">
        <v>38</v>
      </c>
      <c r="G214" s="39" t="s">
        <v>39</v>
      </c>
    </row>
    <row r="215" spans="1:7" x14ac:dyDescent="0.2">
      <c r="A215" s="39" t="s">
        <v>474</v>
      </c>
      <c r="B215" s="39"/>
      <c r="C215" s="39" t="s">
        <v>476</v>
      </c>
      <c r="D215" s="39" t="s">
        <v>37</v>
      </c>
      <c r="E215" s="39" t="s">
        <v>103</v>
      </c>
      <c r="F215" s="39" t="s">
        <v>38</v>
      </c>
      <c r="G215" s="39" t="s">
        <v>39</v>
      </c>
    </row>
    <row r="216" spans="1:7" x14ac:dyDescent="0.2">
      <c r="A216" s="39" t="s">
        <v>474</v>
      </c>
      <c r="B216" s="39"/>
      <c r="C216" s="39" t="s">
        <v>477</v>
      </c>
      <c r="D216" s="39" t="s">
        <v>37</v>
      </c>
      <c r="E216" s="39" t="s">
        <v>165</v>
      </c>
      <c r="F216" s="39" t="s">
        <v>38</v>
      </c>
      <c r="G216" s="39" t="s">
        <v>39</v>
      </c>
    </row>
    <row r="217" spans="1:7" x14ac:dyDescent="0.2">
      <c r="A217" s="39" t="s">
        <v>478</v>
      </c>
      <c r="B217" s="39"/>
      <c r="C217" s="39" t="s">
        <v>479</v>
      </c>
      <c r="D217" s="39" t="s">
        <v>37</v>
      </c>
      <c r="E217" s="39"/>
      <c r="F217" s="39" t="s">
        <v>43</v>
      </c>
      <c r="G217" s="39" t="s">
        <v>39</v>
      </c>
    </row>
    <row r="218" spans="1:7" x14ac:dyDescent="0.2">
      <c r="A218" s="39" t="s">
        <v>480</v>
      </c>
      <c r="B218" s="39"/>
      <c r="C218" s="39" t="s">
        <v>481</v>
      </c>
      <c r="D218" s="39" t="s">
        <v>37</v>
      </c>
      <c r="E218" s="39" t="s">
        <v>265</v>
      </c>
      <c r="F218" s="39" t="s">
        <v>38</v>
      </c>
      <c r="G218" s="39" t="s">
        <v>39</v>
      </c>
    </row>
    <row r="219" spans="1:7" x14ac:dyDescent="0.2">
      <c r="A219" s="39" t="s">
        <v>482</v>
      </c>
      <c r="B219" s="39"/>
      <c r="C219" s="39" t="s">
        <v>483</v>
      </c>
      <c r="D219" s="39" t="s">
        <v>37</v>
      </c>
      <c r="E219" s="39" t="s">
        <v>160</v>
      </c>
      <c r="F219" s="39" t="s">
        <v>43</v>
      </c>
      <c r="G219" s="39" t="s">
        <v>39</v>
      </c>
    </row>
    <row r="220" spans="1:7" x14ac:dyDescent="0.2">
      <c r="A220" s="39" t="s">
        <v>484</v>
      </c>
      <c r="B220" s="39"/>
      <c r="C220" s="39" t="s">
        <v>485</v>
      </c>
      <c r="D220" s="39" t="s">
        <v>37</v>
      </c>
      <c r="E220" s="39" t="s">
        <v>486</v>
      </c>
      <c r="F220" s="39" t="s">
        <v>43</v>
      </c>
      <c r="G220" s="39" t="s">
        <v>39</v>
      </c>
    </row>
    <row r="221" spans="1:7" x14ac:dyDescent="0.2">
      <c r="A221" s="39" t="s">
        <v>487</v>
      </c>
      <c r="B221" s="39"/>
      <c r="C221" s="39" t="s">
        <v>488</v>
      </c>
      <c r="D221" s="39" t="s">
        <v>37</v>
      </c>
      <c r="E221" s="39"/>
      <c r="F221" s="39" t="s">
        <v>43</v>
      </c>
      <c r="G221" s="39" t="s">
        <v>39</v>
      </c>
    </row>
    <row r="222" spans="1:7" x14ac:dyDescent="0.2">
      <c r="A222" s="39" t="s">
        <v>489</v>
      </c>
      <c r="B222" s="39"/>
      <c r="C222" s="39" t="s">
        <v>490</v>
      </c>
      <c r="D222" s="39" t="s">
        <v>37</v>
      </c>
      <c r="E222" s="39" t="s">
        <v>214</v>
      </c>
      <c r="F222" s="39" t="s">
        <v>43</v>
      </c>
      <c r="G222" s="39" t="s">
        <v>39</v>
      </c>
    </row>
    <row r="223" spans="1:7" x14ac:dyDescent="0.2">
      <c r="A223" s="39" t="s">
        <v>491</v>
      </c>
      <c r="B223" s="39"/>
      <c r="C223" s="39" t="s">
        <v>492</v>
      </c>
      <c r="D223" s="39" t="s">
        <v>37</v>
      </c>
      <c r="E223" s="39"/>
      <c r="F223" s="39" t="s">
        <v>43</v>
      </c>
      <c r="G223" s="39" t="s">
        <v>39</v>
      </c>
    </row>
    <row r="224" spans="1:7" x14ac:dyDescent="0.2">
      <c r="A224" s="39" t="s">
        <v>493</v>
      </c>
      <c r="B224" s="39"/>
      <c r="C224" s="39" t="s">
        <v>494</v>
      </c>
      <c r="D224" s="39" t="s">
        <v>37</v>
      </c>
      <c r="E224" s="39"/>
      <c r="F224" s="39" t="s">
        <v>43</v>
      </c>
      <c r="G224" s="39" t="s">
        <v>39</v>
      </c>
    </row>
    <row r="225" spans="1:7" x14ac:dyDescent="0.2">
      <c r="A225" s="39" t="s">
        <v>495</v>
      </c>
      <c r="B225" s="39"/>
      <c r="C225" s="39" t="s">
        <v>496</v>
      </c>
      <c r="D225" s="39" t="s">
        <v>37</v>
      </c>
      <c r="E225" s="39" t="s">
        <v>497</v>
      </c>
      <c r="F225" s="39" t="s">
        <v>38</v>
      </c>
      <c r="G225" s="39" t="s">
        <v>39</v>
      </c>
    </row>
    <row r="226" spans="1:7" x14ac:dyDescent="0.2">
      <c r="A226" s="39" t="s">
        <v>498</v>
      </c>
      <c r="B226" s="39"/>
      <c r="C226" s="39" t="s">
        <v>499</v>
      </c>
      <c r="D226" s="39" t="s">
        <v>37</v>
      </c>
      <c r="E226" s="39" t="s">
        <v>497</v>
      </c>
      <c r="F226" s="39" t="s">
        <v>38</v>
      </c>
      <c r="G226" s="39" t="s">
        <v>39</v>
      </c>
    </row>
    <row r="227" spans="1:7" x14ac:dyDescent="0.2">
      <c r="A227" s="39" t="s">
        <v>500</v>
      </c>
      <c r="B227" s="39"/>
      <c r="C227" s="39" t="s">
        <v>501</v>
      </c>
      <c r="D227" s="39" t="s">
        <v>37</v>
      </c>
      <c r="E227" s="39"/>
      <c r="F227" s="39" t="s">
        <v>38</v>
      </c>
      <c r="G227" s="39" t="s">
        <v>39</v>
      </c>
    </row>
    <row r="228" spans="1:7" x14ac:dyDescent="0.2">
      <c r="A228" s="39" t="s">
        <v>502</v>
      </c>
      <c r="B228" s="39"/>
      <c r="C228" s="39" t="s">
        <v>503</v>
      </c>
      <c r="D228" s="39" t="s">
        <v>37</v>
      </c>
      <c r="E228" s="39"/>
      <c r="F228" s="39" t="s">
        <v>38</v>
      </c>
      <c r="G228" s="39" t="s">
        <v>39</v>
      </c>
    </row>
    <row r="229" spans="1:7" x14ac:dyDescent="0.2">
      <c r="A229" s="39" t="s">
        <v>504</v>
      </c>
      <c r="B229" s="39"/>
      <c r="C229" s="39" t="s">
        <v>505</v>
      </c>
      <c r="D229" s="39" t="s">
        <v>37</v>
      </c>
      <c r="E229" s="39"/>
      <c r="F229" s="39" t="s">
        <v>38</v>
      </c>
      <c r="G229" s="39" t="s">
        <v>39</v>
      </c>
    </row>
    <row r="230" spans="1:7" x14ac:dyDescent="0.2">
      <c r="A230" s="39" t="s">
        <v>506</v>
      </c>
      <c r="B230" s="39"/>
      <c r="C230" s="39" t="s">
        <v>157</v>
      </c>
      <c r="D230" s="39" t="s">
        <v>37</v>
      </c>
      <c r="E230" s="39"/>
      <c r="F230" s="39" t="s">
        <v>38</v>
      </c>
      <c r="G230" s="39" t="s">
        <v>39</v>
      </c>
    </row>
    <row r="231" spans="1:7" x14ac:dyDescent="0.2">
      <c r="A231" s="39" t="s">
        <v>507</v>
      </c>
      <c r="B231" s="39"/>
      <c r="C231" s="39" t="s">
        <v>508</v>
      </c>
      <c r="D231" s="39" t="s">
        <v>37</v>
      </c>
      <c r="E231" s="39"/>
      <c r="F231" s="39" t="s">
        <v>43</v>
      </c>
      <c r="G231" s="39" t="s">
        <v>39</v>
      </c>
    </row>
    <row r="232" spans="1:7" x14ac:dyDescent="0.2">
      <c r="A232" s="39" t="s">
        <v>509</v>
      </c>
      <c r="B232" s="39"/>
      <c r="C232" s="39" t="s">
        <v>510</v>
      </c>
      <c r="D232" s="39" t="s">
        <v>37</v>
      </c>
      <c r="E232" s="39" t="s">
        <v>257</v>
      </c>
      <c r="F232" s="39" t="s">
        <v>38</v>
      </c>
      <c r="G232" s="39" t="s">
        <v>39</v>
      </c>
    </row>
    <row r="233" spans="1:7" x14ac:dyDescent="0.2">
      <c r="A233" s="39" t="s">
        <v>511</v>
      </c>
      <c r="B233" s="39"/>
      <c r="C233" s="39" t="s">
        <v>157</v>
      </c>
      <c r="D233" s="39" t="s">
        <v>37</v>
      </c>
      <c r="E233" s="39"/>
      <c r="F233" s="39" t="s">
        <v>38</v>
      </c>
      <c r="G233" s="39" t="s">
        <v>39</v>
      </c>
    </row>
    <row r="234" spans="1:7" x14ac:dyDescent="0.2">
      <c r="A234" s="39" t="s">
        <v>512</v>
      </c>
      <c r="B234" s="39"/>
      <c r="C234" s="39" t="s">
        <v>513</v>
      </c>
      <c r="D234" s="39" t="s">
        <v>37</v>
      </c>
      <c r="E234" s="39"/>
      <c r="F234" s="39" t="s">
        <v>43</v>
      </c>
      <c r="G234" s="39" t="s">
        <v>39</v>
      </c>
    </row>
    <row r="235" spans="1:7" x14ac:dyDescent="0.2">
      <c r="A235" s="39" t="s">
        <v>514</v>
      </c>
      <c r="B235" s="39"/>
      <c r="C235" s="39" t="s">
        <v>515</v>
      </c>
      <c r="D235" s="39" t="s">
        <v>37</v>
      </c>
      <c r="E235" s="39" t="s">
        <v>516</v>
      </c>
      <c r="F235" s="39" t="s">
        <v>43</v>
      </c>
      <c r="G235" s="39" t="s">
        <v>39</v>
      </c>
    </row>
    <row r="236" spans="1:7" x14ac:dyDescent="0.2">
      <c r="A236" s="39" t="s">
        <v>517</v>
      </c>
      <c r="B236" s="39"/>
      <c r="C236" s="39" t="s">
        <v>518</v>
      </c>
      <c r="D236" s="39" t="s">
        <v>37</v>
      </c>
      <c r="E236" s="39"/>
      <c r="F236" s="39" t="s">
        <v>43</v>
      </c>
      <c r="G236" s="39" t="s">
        <v>39</v>
      </c>
    </row>
    <row r="237" spans="1:7" x14ac:dyDescent="0.2">
      <c r="A237" s="39" t="s">
        <v>519</v>
      </c>
      <c r="B237" s="39"/>
      <c r="C237" s="39" t="s">
        <v>520</v>
      </c>
      <c r="D237" s="39" t="s">
        <v>37</v>
      </c>
      <c r="E237" s="39" t="s">
        <v>433</v>
      </c>
      <c r="F237" s="39" t="s">
        <v>43</v>
      </c>
      <c r="G237" s="39" t="s">
        <v>39</v>
      </c>
    </row>
    <row r="238" spans="1:7" x14ac:dyDescent="0.2">
      <c r="A238" s="39" t="s">
        <v>521</v>
      </c>
      <c r="B238" s="39"/>
      <c r="C238" s="39" t="s">
        <v>522</v>
      </c>
      <c r="D238" s="39" t="s">
        <v>37</v>
      </c>
      <c r="E238" s="39" t="s">
        <v>331</v>
      </c>
      <c r="F238" s="39" t="s">
        <v>43</v>
      </c>
      <c r="G238" s="39" t="s">
        <v>39</v>
      </c>
    </row>
    <row r="239" spans="1:7" x14ac:dyDescent="0.2">
      <c r="A239" s="39" t="s">
        <v>523</v>
      </c>
      <c r="B239" s="39"/>
      <c r="C239" s="39" t="s">
        <v>524</v>
      </c>
      <c r="D239" s="39" t="s">
        <v>37</v>
      </c>
      <c r="E239" s="39"/>
      <c r="F239" s="39" t="s">
        <v>43</v>
      </c>
      <c r="G239" s="39" t="s">
        <v>39</v>
      </c>
    </row>
    <row r="240" spans="1:7" x14ac:dyDescent="0.2">
      <c r="A240" s="39" t="s">
        <v>525</v>
      </c>
      <c r="B240" s="39"/>
      <c r="C240" s="39" t="s">
        <v>477</v>
      </c>
      <c r="D240" s="39" t="s">
        <v>37</v>
      </c>
      <c r="E240" s="39" t="s">
        <v>526</v>
      </c>
      <c r="F240" s="39" t="s">
        <v>38</v>
      </c>
      <c r="G240" s="39" t="s">
        <v>39</v>
      </c>
    </row>
    <row r="241" spans="1:7" x14ac:dyDescent="0.2">
      <c r="A241" s="39" t="s">
        <v>527</v>
      </c>
      <c r="B241" s="39"/>
      <c r="C241" s="39" t="s">
        <v>528</v>
      </c>
      <c r="D241" s="39" t="s">
        <v>37</v>
      </c>
      <c r="E241" s="39" t="s">
        <v>135</v>
      </c>
      <c r="F241" s="39" t="s">
        <v>38</v>
      </c>
      <c r="G241" s="39" t="s">
        <v>39</v>
      </c>
    </row>
    <row r="242" spans="1:7" x14ac:dyDescent="0.2">
      <c r="A242" s="39" t="s">
        <v>529</v>
      </c>
      <c r="B242" s="39"/>
      <c r="C242" s="39" t="s">
        <v>139</v>
      </c>
      <c r="D242" s="39" t="s">
        <v>37</v>
      </c>
      <c r="E242" s="39" t="s">
        <v>115</v>
      </c>
      <c r="F242" s="39" t="s">
        <v>43</v>
      </c>
      <c r="G242" s="39" t="s">
        <v>39</v>
      </c>
    </row>
    <row r="243" spans="1:7" x14ac:dyDescent="0.2">
      <c r="A243" s="39" t="s">
        <v>530</v>
      </c>
      <c r="B243" s="39"/>
      <c r="C243" s="39" t="s">
        <v>531</v>
      </c>
      <c r="D243" s="39" t="s">
        <v>37</v>
      </c>
      <c r="E243" s="39"/>
      <c r="F243" s="39" t="s">
        <v>43</v>
      </c>
      <c r="G243" s="39" t="s">
        <v>39</v>
      </c>
    </row>
    <row r="244" spans="1:7" x14ac:dyDescent="0.2">
      <c r="A244" s="39" t="s">
        <v>532</v>
      </c>
      <c r="B244" s="39"/>
      <c r="C244" s="39" t="s">
        <v>533</v>
      </c>
      <c r="D244" s="39" t="s">
        <v>37</v>
      </c>
      <c r="E244" s="39"/>
      <c r="F244" s="39" t="s">
        <v>43</v>
      </c>
      <c r="G244" s="39" t="s">
        <v>39</v>
      </c>
    </row>
    <row r="245" spans="1:7" x14ac:dyDescent="0.2">
      <c r="A245" s="39" t="s">
        <v>534</v>
      </c>
      <c r="B245" s="39"/>
      <c r="C245" s="39" t="s">
        <v>535</v>
      </c>
      <c r="D245" s="39" t="s">
        <v>37</v>
      </c>
      <c r="E245" s="39" t="s">
        <v>90</v>
      </c>
      <c r="F245" s="39" t="s">
        <v>43</v>
      </c>
      <c r="G245" s="39" t="s">
        <v>39</v>
      </c>
    </row>
    <row r="246" spans="1:7" x14ac:dyDescent="0.2">
      <c r="A246" s="39" t="s">
        <v>536</v>
      </c>
      <c r="B246" s="39"/>
      <c r="C246" s="39" t="s">
        <v>537</v>
      </c>
      <c r="D246" s="39" t="s">
        <v>37</v>
      </c>
      <c r="E246" s="39" t="s">
        <v>338</v>
      </c>
      <c r="F246" s="39" t="s">
        <v>43</v>
      </c>
      <c r="G246" s="39" t="s">
        <v>39</v>
      </c>
    </row>
    <row r="247" spans="1:7" x14ac:dyDescent="0.2">
      <c r="A247" s="39" t="s">
        <v>538</v>
      </c>
      <c r="B247" s="39"/>
      <c r="C247" s="39" t="s">
        <v>539</v>
      </c>
      <c r="D247" s="39" t="s">
        <v>37</v>
      </c>
      <c r="E247" s="39" t="s">
        <v>103</v>
      </c>
      <c r="F247" s="39" t="s">
        <v>43</v>
      </c>
      <c r="G247" s="39" t="s">
        <v>39</v>
      </c>
    </row>
    <row r="248" spans="1:7" x14ac:dyDescent="0.2">
      <c r="A248" s="39" t="s">
        <v>540</v>
      </c>
      <c r="B248" s="39"/>
      <c r="C248" s="39" t="s">
        <v>85</v>
      </c>
      <c r="D248" s="39" t="s">
        <v>37</v>
      </c>
      <c r="E248" s="39" t="s">
        <v>265</v>
      </c>
      <c r="F248" s="39" t="s">
        <v>43</v>
      </c>
      <c r="G248" s="39" t="s">
        <v>39</v>
      </c>
    </row>
    <row r="249" spans="1:7" x14ac:dyDescent="0.2">
      <c r="A249" s="39" t="s">
        <v>541</v>
      </c>
      <c r="B249" s="39"/>
      <c r="C249" s="39" t="s">
        <v>542</v>
      </c>
      <c r="D249" s="39" t="s">
        <v>37</v>
      </c>
      <c r="E249" s="39" t="s">
        <v>516</v>
      </c>
      <c r="F249" s="39" t="s">
        <v>43</v>
      </c>
      <c r="G249" s="39" t="s">
        <v>39</v>
      </c>
    </row>
    <row r="250" spans="1:7" x14ac:dyDescent="0.2">
      <c r="A250" s="39" t="s">
        <v>543</v>
      </c>
      <c r="B250" s="39"/>
      <c r="C250" s="39" t="s">
        <v>544</v>
      </c>
      <c r="D250" s="39" t="s">
        <v>37</v>
      </c>
      <c r="E250" s="39"/>
      <c r="F250" s="39" t="s">
        <v>43</v>
      </c>
      <c r="G250" s="39" t="s">
        <v>39</v>
      </c>
    </row>
    <row r="251" spans="1:7" x14ac:dyDescent="0.2">
      <c r="A251" s="39" t="s">
        <v>545</v>
      </c>
      <c r="B251" s="39"/>
      <c r="C251" s="39" t="s">
        <v>77</v>
      </c>
      <c r="D251" s="39" t="s">
        <v>37</v>
      </c>
      <c r="E251" s="39"/>
      <c r="F251" s="39" t="s">
        <v>43</v>
      </c>
      <c r="G251" s="39" t="s">
        <v>39</v>
      </c>
    </row>
    <row r="252" spans="1:7" x14ac:dyDescent="0.2">
      <c r="A252" s="39" t="s">
        <v>546</v>
      </c>
      <c r="B252" s="39"/>
      <c r="C252" s="39" t="s">
        <v>547</v>
      </c>
      <c r="D252" s="39" t="s">
        <v>37</v>
      </c>
      <c r="E252" s="39"/>
      <c r="F252" s="39" t="s">
        <v>43</v>
      </c>
      <c r="G252" s="39" t="s">
        <v>39</v>
      </c>
    </row>
    <row r="253" spans="1:7" x14ac:dyDescent="0.2">
      <c r="A253" s="39" t="s">
        <v>548</v>
      </c>
      <c r="B253" s="39"/>
      <c r="C253" s="39" t="s">
        <v>549</v>
      </c>
      <c r="D253" s="39" t="s">
        <v>37</v>
      </c>
      <c r="E253" s="39"/>
      <c r="F253" s="39" t="s">
        <v>43</v>
      </c>
      <c r="G253" s="39" t="s">
        <v>39</v>
      </c>
    </row>
    <row r="254" spans="1:7" x14ac:dyDescent="0.2">
      <c r="A254" s="39" t="s">
        <v>550</v>
      </c>
      <c r="B254" s="39"/>
      <c r="C254" s="39" t="s">
        <v>551</v>
      </c>
      <c r="D254" s="39" t="s">
        <v>37</v>
      </c>
      <c r="E254" s="39"/>
      <c r="F254" s="39" t="s">
        <v>43</v>
      </c>
      <c r="G254" s="39" t="s">
        <v>39</v>
      </c>
    </row>
    <row r="255" spans="1:7" x14ac:dyDescent="0.2">
      <c r="A255" s="39" t="s">
        <v>552</v>
      </c>
      <c r="B255" s="39"/>
      <c r="C255" s="39" t="s">
        <v>553</v>
      </c>
      <c r="D255" s="39" t="s">
        <v>37</v>
      </c>
      <c r="E255" s="39"/>
      <c r="F255" s="39" t="s">
        <v>43</v>
      </c>
      <c r="G255" s="39" t="s">
        <v>39</v>
      </c>
    </row>
    <row r="256" spans="1:7" x14ac:dyDescent="0.2">
      <c r="A256" s="39" t="s">
        <v>554</v>
      </c>
      <c r="B256" s="39"/>
      <c r="C256" s="39" t="s">
        <v>300</v>
      </c>
      <c r="D256" s="39" t="s">
        <v>37</v>
      </c>
      <c r="E256" s="39" t="s">
        <v>211</v>
      </c>
      <c r="F256" s="39" t="s">
        <v>43</v>
      </c>
      <c r="G256" s="39" t="s">
        <v>39</v>
      </c>
    </row>
    <row r="257" spans="1:7" x14ac:dyDescent="0.2">
      <c r="A257" s="39" t="s">
        <v>555</v>
      </c>
      <c r="B257" s="39"/>
      <c r="C257" s="39" t="s">
        <v>556</v>
      </c>
      <c r="D257" s="39" t="s">
        <v>37</v>
      </c>
      <c r="E257" s="39"/>
      <c r="F257" s="39" t="s">
        <v>43</v>
      </c>
      <c r="G257" s="39" t="s">
        <v>39</v>
      </c>
    </row>
    <row r="258" spans="1:7" x14ac:dyDescent="0.2">
      <c r="A258" s="39" t="s">
        <v>557</v>
      </c>
      <c r="B258" s="39"/>
      <c r="C258" s="39" t="s">
        <v>558</v>
      </c>
      <c r="D258" s="39" t="s">
        <v>37</v>
      </c>
      <c r="E258" s="39"/>
      <c r="F258" s="39" t="s">
        <v>43</v>
      </c>
      <c r="G258" s="39" t="s">
        <v>39</v>
      </c>
    </row>
    <row r="259" spans="1:7" x14ac:dyDescent="0.2">
      <c r="A259" s="39" t="s">
        <v>559</v>
      </c>
      <c r="B259" s="39"/>
      <c r="C259" s="39" t="s">
        <v>560</v>
      </c>
      <c r="D259" s="39" t="s">
        <v>37</v>
      </c>
      <c r="E259" s="39"/>
      <c r="F259" s="39" t="s">
        <v>38</v>
      </c>
      <c r="G259" s="39" t="s">
        <v>39</v>
      </c>
    </row>
    <row r="260" spans="1:7" x14ac:dyDescent="0.2">
      <c r="A260" s="39" t="s">
        <v>561</v>
      </c>
      <c r="B260" s="39"/>
      <c r="C260" s="39" t="s">
        <v>562</v>
      </c>
      <c r="D260" s="39" t="s">
        <v>37</v>
      </c>
      <c r="E260" s="39" t="s">
        <v>208</v>
      </c>
      <c r="F260" s="39" t="s">
        <v>43</v>
      </c>
      <c r="G260" s="39" t="s">
        <v>39</v>
      </c>
    </row>
    <row r="261" spans="1:7" x14ac:dyDescent="0.2">
      <c r="A261" s="39" t="s">
        <v>563</v>
      </c>
      <c r="B261" s="39"/>
      <c r="C261" s="39" t="s">
        <v>447</v>
      </c>
      <c r="D261" s="39" t="s">
        <v>37</v>
      </c>
      <c r="E261" s="39" t="s">
        <v>272</v>
      </c>
      <c r="F261" s="39" t="s">
        <v>43</v>
      </c>
      <c r="G261" s="39" t="s">
        <v>39</v>
      </c>
    </row>
    <row r="262" spans="1:7" x14ac:dyDescent="0.2">
      <c r="A262" s="39" t="s">
        <v>564</v>
      </c>
      <c r="B262" s="39"/>
      <c r="C262" s="39" t="s">
        <v>391</v>
      </c>
      <c r="D262" s="39" t="s">
        <v>37</v>
      </c>
      <c r="E262" s="39"/>
      <c r="F262" s="39" t="s">
        <v>100</v>
      </c>
      <c r="G262" s="39" t="s">
        <v>39</v>
      </c>
    </row>
    <row r="263" spans="1:7" x14ac:dyDescent="0.2">
      <c r="A263" s="39" t="s">
        <v>565</v>
      </c>
      <c r="B263" s="39"/>
      <c r="C263" s="39" t="s">
        <v>566</v>
      </c>
      <c r="D263" s="39" t="s">
        <v>37</v>
      </c>
      <c r="E263" s="39"/>
      <c r="F263" s="39" t="s">
        <v>38</v>
      </c>
      <c r="G263" s="39" t="s">
        <v>39</v>
      </c>
    </row>
    <row r="264" spans="1:7" x14ac:dyDescent="0.2">
      <c r="A264" s="39" t="s">
        <v>567</v>
      </c>
      <c r="B264" s="39"/>
      <c r="C264" s="39" t="s">
        <v>568</v>
      </c>
      <c r="D264" s="39" t="s">
        <v>37</v>
      </c>
      <c r="E264" s="39"/>
      <c r="F264" s="39" t="s">
        <v>38</v>
      </c>
      <c r="G264" s="39" t="s">
        <v>39</v>
      </c>
    </row>
    <row r="265" spans="1:7" x14ac:dyDescent="0.2">
      <c r="A265" s="39" t="s">
        <v>569</v>
      </c>
      <c r="B265" s="39"/>
      <c r="C265" s="39" t="s">
        <v>570</v>
      </c>
      <c r="D265" s="39" t="s">
        <v>37</v>
      </c>
      <c r="E265" s="39"/>
      <c r="F265" s="39" t="s">
        <v>43</v>
      </c>
      <c r="G265" s="39" t="s">
        <v>39</v>
      </c>
    </row>
    <row r="266" spans="1:7" x14ac:dyDescent="0.2">
      <c r="A266" s="39" t="s">
        <v>571</v>
      </c>
      <c r="B266" s="39"/>
      <c r="C266" s="39" t="s">
        <v>572</v>
      </c>
      <c r="D266" s="39" t="s">
        <v>37</v>
      </c>
      <c r="E266" s="39"/>
      <c r="F266" s="39" t="s">
        <v>43</v>
      </c>
      <c r="G266" s="39" t="s">
        <v>39</v>
      </c>
    </row>
    <row r="267" spans="1:7" x14ac:dyDescent="0.2">
      <c r="A267" s="39" t="s">
        <v>573</v>
      </c>
      <c r="B267" s="39"/>
      <c r="C267" s="39" t="s">
        <v>574</v>
      </c>
      <c r="D267" s="39" t="s">
        <v>37</v>
      </c>
      <c r="E267" s="39" t="s">
        <v>368</v>
      </c>
      <c r="F267" s="39" t="s">
        <v>43</v>
      </c>
      <c r="G267" s="39" t="s">
        <v>39</v>
      </c>
    </row>
    <row r="268" spans="1:7" x14ac:dyDescent="0.2">
      <c r="A268" s="39" t="s">
        <v>575</v>
      </c>
      <c r="B268" s="39"/>
      <c r="C268" s="39" t="s">
        <v>576</v>
      </c>
      <c r="D268" s="39" t="s">
        <v>37</v>
      </c>
      <c r="E268" s="39"/>
      <c r="F268" s="39" t="s">
        <v>43</v>
      </c>
      <c r="G268" s="39" t="s">
        <v>39</v>
      </c>
    </row>
    <row r="269" spans="1:7" x14ac:dyDescent="0.2">
      <c r="A269" s="39" t="s">
        <v>577</v>
      </c>
      <c r="B269" s="39"/>
      <c r="C269" s="39" t="s">
        <v>578</v>
      </c>
      <c r="D269" s="39" t="s">
        <v>37</v>
      </c>
      <c r="E269" s="39"/>
      <c r="F269" s="39" t="s">
        <v>43</v>
      </c>
      <c r="G269" s="39" t="s">
        <v>39</v>
      </c>
    </row>
    <row r="270" spans="1:7" x14ac:dyDescent="0.2">
      <c r="A270" s="39" t="s">
        <v>579</v>
      </c>
      <c r="B270" s="39"/>
      <c r="C270" s="39" t="s">
        <v>580</v>
      </c>
      <c r="D270" s="39" t="s">
        <v>37</v>
      </c>
      <c r="E270" s="39" t="s">
        <v>90</v>
      </c>
      <c r="F270" s="39" t="s">
        <v>43</v>
      </c>
      <c r="G270" s="39" t="s">
        <v>39</v>
      </c>
    </row>
    <row r="271" spans="1:7" x14ac:dyDescent="0.2">
      <c r="A271" s="39" t="s">
        <v>581</v>
      </c>
      <c r="B271" s="39"/>
      <c r="C271" s="39" t="s">
        <v>582</v>
      </c>
      <c r="D271" s="39" t="s">
        <v>37</v>
      </c>
      <c r="E271" s="39" t="s">
        <v>211</v>
      </c>
      <c r="F271" s="39" t="s">
        <v>43</v>
      </c>
      <c r="G271" s="39" t="s">
        <v>39</v>
      </c>
    </row>
    <row r="272" spans="1:7" x14ac:dyDescent="0.2">
      <c r="A272" s="39" t="s">
        <v>583</v>
      </c>
      <c r="B272" s="39" t="s">
        <v>584</v>
      </c>
      <c r="C272" s="39" t="s">
        <v>585</v>
      </c>
      <c r="D272" s="39" t="s">
        <v>37</v>
      </c>
      <c r="E272" s="39"/>
      <c r="F272" s="39" t="s">
        <v>43</v>
      </c>
      <c r="G272" s="39" t="s">
        <v>39</v>
      </c>
    </row>
    <row r="273" spans="1:7" x14ac:dyDescent="0.2">
      <c r="A273" s="39" t="s">
        <v>586</v>
      </c>
      <c r="B273" s="39"/>
      <c r="C273" s="39" t="s">
        <v>587</v>
      </c>
      <c r="D273" s="39" t="s">
        <v>37</v>
      </c>
      <c r="E273" s="39"/>
      <c r="F273" s="39" t="s">
        <v>43</v>
      </c>
      <c r="G273" s="39" t="s">
        <v>39</v>
      </c>
    </row>
    <row r="274" spans="1:7" x14ac:dyDescent="0.2">
      <c r="A274" s="39" t="s">
        <v>588</v>
      </c>
      <c r="B274" s="39"/>
      <c r="C274" s="39" t="s">
        <v>589</v>
      </c>
      <c r="D274" s="39" t="s">
        <v>37</v>
      </c>
      <c r="E274" s="39" t="s">
        <v>590</v>
      </c>
      <c r="F274" s="39" t="s">
        <v>43</v>
      </c>
      <c r="G274" s="39" t="s">
        <v>39</v>
      </c>
    </row>
    <row r="275" spans="1:7" x14ac:dyDescent="0.2">
      <c r="A275" s="39" t="s">
        <v>591</v>
      </c>
      <c r="B275" s="39"/>
      <c r="C275" s="39" t="s">
        <v>592</v>
      </c>
      <c r="D275" s="39" t="s">
        <v>37</v>
      </c>
      <c r="E275" s="39" t="s">
        <v>228</v>
      </c>
      <c r="F275" s="39" t="s">
        <v>43</v>
      </c>
      <c r="G275" s="39" t="s">
        <v>39</v>
      </c>
    </row>
    <row r="276" spans="1:7" x14ac:dyDescent="0.2">
      <c r="A276" s="39" t="s">
        <v>593</v>
      </c>
      <c r="B276" s="39"/>
      <c r="C276" s="39" t="s">
        <v>594</v>
      </c>
      <c r="D276" s="39" t="s">
        <v>37</v>
      </c>
      <c r="E276" s="39"/>
      <c r="F276" s="39" t="s">
        <v>43</v>
      </c>
      <c r="G276" s="39" t="s">
        <v>39</v>
      </c>
    </row>
    <row r="277" spans="1:7" x14ac:dyDescent="0.2">
      <c r="A277" s="39" t="s">
        <v>595</v>
      </c>
      <c r="B277" s="39"/>
      <c r="C277" s="39" t="s">
        <v>596</v>
      </c>
      <c r="D277" s="39" t="s">
        <v>37</v>
      </c>
      <c r="E277" s="39"/>
      <c r="F277" s="39" t="s">
        <v>38</v>
      </c>
      <c r="G277" s="39" t="s">
        <v>39</v>
      </c>
    </row>
    <row r="278" spans="1:7" x14ac:dyDescent="0.2">
      <c r="A278" s="39" t="s">
        <v>597</v>
      </c>
      <c r="B278" s="39"/>
      <c r="C278" s="39" t="s">
        <v>598</v>
      </c>
      <c r="D278" s="39" t="s">
        <v>37</v>
      </c>
      <c r="E278" s="39" t="s">
        <v>247</v>
      </c>
      <c r="F278" s="39" t="s">
        <v>38</v>
      </c>
      <c r="G278" s="39" t="s">
        <v>39</v>
      </c>
    </row>
    <row r="279" spans="1:7" x14ac:dyDescent="0.2">
      <c r="A279" s="39" t="s">
        <v>599</v>
      </c>
      <c r="B279" s="39"/>
      <c r="C279" s="39" t="s">
        <v>600</v>
      </c>
      <c r="D279" s="39" t="s">
        <v>37</v>
      </c>
      <c r="E279" s="39"/>
      <c r="F279" s="39" t="s">
        <v>43</v>
      </c>
      <c r="G279" s="39" t="s">
        <v>39</v>
      </c>
    </row>
    <row r="280" spans="1:7" x14ac:dyDescent="0.2">
      <c r="A280" s="39" t="s">
        <v>601</v>
      </c>
      <c r="B280" s="39"/>
      <c r="C280" s="39" t="s">
        <v>602</v>
      </c>
      <c r="D280" s="39" t="s">
        <v>37</v>
      </c>
      <c r="E280" s="39"/>
      <c r="F280" s="39" t="s">
        <v>43</v>
      </c>
      <c r="G280" s="39" t="s">
        <v>39</v>
      </c>
    </row>
    <row r="281" spans="1:7" x14ac:dyDescent="0.2">
      <c r="A281" s="39" t="s">
        <v>603</v>
      </c>
      <c r="B281" s="39" t="s">
        <v>604</v>
      </c>
      <c r="C281" s="39" t="s">
        <v>157</v>
      </c>
      <c r="D281" s="39" t="s">
        <v>37</v>
      </c>
      <c r="E281" s="39"/>
      <c r="F281" s="39" t="s">
        <v>43</v>
      </c>
      <c r="G281" s="39" t="s">
        <v>39</v>
      </c>
    </row>
    <row r="282" spans="1:7" x14ac:dyDescent="0.2">
      <c r="A282" s="39" t="s">
        <v>605</v>
      </c>
      <c r="B282" s="39"/>
      <c r="C282" s="39" t="s">
        <v>606</v>
      </c>
      <c r="D282" s="39" t="s">
        <v>37</v>
      </c>
      <c r="E282" s="39"/>
      <c r="F282" s="39" t="s">
        <v>43</v>
      </c>
      <c r="G282" s="39" t="s">
        <v>39</v>
      </c>
    </row>
    <row r="283" spans="1:7" x14ac:dyDescent="0.2">
      <c r="A283" s="39" t="s">
        <v>607</v>
      </c>
      <c r="B283" s="39"/>
      <c r="C283" s="39" t="s">
        <v>608</v>
      </c>
      <c r="D283" s="39" t="s">
        <v>37</v>
      </c>
      <c r="E283" s="39"/>
      <c r="F283" s="39" t="s">
        <v>43</v>
      </c>
      <c r="G283" s="39" t="s">
        <v>39</v>
      </c>
    </row>
    <row r="284" spans="1:7" x14ac:dyDescent="0.2">
      <c r="A284" s="39" t="s">
        <v>609</v>
      </c>
      <c r="B284" s="39"/>
      <c r="C284" s="39" t="s">
        <v>87</v>
      </c>
      <c r="D284" s="39" t="s">
        <v>37</v>
      </c>
      <c r="E284" s="39"/>
      <c r="F284" s="39" t="s">
        <v>100</v>
      </c>
      <c r="G284" s="39" t="s">
        <v>39</v>
      </c>
    </row>
    <row r="285" spans="1:7" x14ac:dyDescent="0.2">
      <c r="A285" s="39" t="s">
        <v>610</v>
      </c>
      <c r="B285" s="39"/>
      <c r="C285" s="39" t="s">
        <v>87</v>
      </c>
      <c r="D285" s="39" t="s">
        <v>37</v>
      </c>
      <c r="E285" s="39"/>
      <c r="F285" s="39" t="s">
        <v>100</v>
      </c>
      <c r="G285" s="39" t="s">
        <v>39</v>
      </c>
    </row>
    <row r="286" spans="1:7" x14ac:dyDescent="0.2">
      <c r="A286" s="39" t="s">
        <v>611</v>
      </c>
      <c r="B286" s="39"/>
      <c r="C286" s="39" t="s">
        <v>612</v>
      </c>
      <c r="D286" s="39" t="s">
        <v>37</v>
      </c>
      <c r="E286" s="39"/>
      <c r="F286" s="39" t="s">
        <v>43</v>
      </c>
      <c r="G286" s="39" t="s">
        <v>39</v>
      </c>
    </row>
    <row r="287" spans="1:7" x14ac:dyDescent="0.2">
      <c r="A287" s="39" t="s">
        <v>613</v>
      </c>
      <c r="B287" s="39"/>
      <c r="C287" s="39" t="s">
        <v>614</v>
      </c>
      <c r="D287" s="39" t="s">
        <v>37</v>
      </c>
      <c r="E287" s="39"/>
      <c r="F287" s="39" t="s">
        <v>38</v>
      </c>
      <c r="G287" s="39" t="s">
        <v>39</v>
      </c>
    </row>
    <row r="288" spans="1:7" x14ac:dyDescent="0.2">
      <c r="A288" s="39" t="s">
        <v>615</v>
      </c>
      <c r="B288" s="39"/>
      <c r="C288" s="39" t="s">
        <v>616</v>
      </c>
      <c r="D288" s="39" t="s">
        <v>37</v>
      </c>
      <c r="E288" s="39" t="s">
        <v>282</v>
      </c>
      <c r="F288" s="39" t="s">
        <v>43</v>
      </c>
      <c r="G288" s="39" t="s">
        <v>39</v>
      </c>
    </row>
    <row r="289" spans="1:7" x14ac:dyDescent="0.2">
      <c r="A289" s="39" t="s">
        <v>617</v>
      </c>
      <c r="B289" s="39"/>
      <c r="C289" s="39" t="s">
        <v>618</v>
      </c>
      <c r="D289" s="39" t="s">
        <v>37</v>
      </c>
      <c r="E289" s="39"/>
      <c r="F289" s="39" t="s">
        <v>43</v>
      </c>
      <c r="G289" s="39" t="s">
        <v>39</v>
      </c>
    </row>
    <row r="290" spans="1:7" x14ac:dyDescent="0.2">
      <c r="A290" s="39" t="s">
        <v>619</v>
      </c>
      <c r="B290" s="39"/>
      <c r="C290" s="39" t="s">
        <v>620</v>
      </c>
      <c r="D290" s="39" t="s">
        <v>37</v>
      </c>
      <c r="E290" s="39" t="s">
        <v>282</v>
      </c>
      <c r="F290" s="39" t="s">
        <v>38</v>
      </c>
      <c r="G290" s="39" t="s">
        <v>39</v>
      </c>
    </row>
    <row r="291" spans="1:7" x14ac:dyDescent="0.2">
      <c r="A291" s="39" t="s">
        <v>621</v>
      </c>
      <c r="B291" s="39"/>
      <c r="C291" s="39" t="s">
        <v>622</v>
      </c>
      <c r="D291" s="39" t="s">
        <v>37</v>
      </c>
      <c r="E291" s="39" t="s">
        <v>211</v>
      </c>
      <c r="F291" s="39" t="s">
        <v>38</v>
      </c>
      <c r="G291" s="39" t="s">
        <v>39</v>
      </c>
    </row>
    <row r="292" spans="1:7" x14ac:dyDescent="0.2">
      <c r="A292" s="39" t="s">
        <v>623</v>
      </c>
      <c r="B292" s="39"/>
      <c r="C292" s="39" t="s">
        <v>85</v>
      </c>
      <c r="D292" s="39" t="s">
        <v>37</v>
      </c>
      <c r="E292" s="39" t="s">
        <v>265</v>
      </c>
      <c r="F292" s="39" t="s">
        <v>43</v>
      </c>
      <c r="G292" s="39" t="s">
        <v>39</v>
      </c>
    </row>
    <row r="293" spans="1:7" x14ac:dyDescent="0.2">
      <c r="A293" s="39" t="s">
        <v>624</v>
      </c>
      <c r="B293" s="39"/>
      <c r="C293" s="39" t="s">
        <v>625</v>
      </c>
      <c r="D293" s="39" t="s">
        <v>37</v>
      </c>
      <c r="E293" s="39"/>
      <c r="F293" s="39" t="s">
        <v>38</v>
      </c>
      <c r="G293" s="39" t="s">
        <v>39</v>
      </c>
    </row>
    <row r="294" spans="1:7" x14ac:dyDescent="0.2">
      <c r="A294" s="39" t="s">
        <v>626</v>
      </c>
      <c r="B294" s="39"/>
      <c r="C294" s="39" t="s">
        <v>627</v>
      </c>
      <c r="D294" s="39" t="s">
        <v>37</v>
      </c>
      <c r="E294" s="39" t="s">
        <v>486</v>
      </c>
      <c r="F294" s="39" t="s">
        <v>38</v>
      </c>
      <c r="G294" s="39" t="s">
        <v>39</v>
      </c>
    </row>
    <row r="295" spans="1:7" x14ac:dyDescent="0.2">
      <c r="A295" s="39" t="s">
        <v>628</v>
      </c>
      <c r="B295" s="39"/>
      <c r="C295" s="39" t="s">
        <v>629</v>
      </c>
      <c r="D295" s="39" t="s">
        <v>37</v>
      </c>
      <c r="E295" s="39"/>
      <c r="F295" s="39" t="s">
        <v>43</v>
      </c>
      <c r="G295" s="39" t="s">
        <v>39</v>
      </c>
    </row>
    <row r="296" spans="1:7" x14ac:dyDescent="0.2">
      <c r="A296" s="39" t="s">
        <v>630</v>
      </c>
      <c r="B296" s="39" t="s">
        <v>631</v>
      </c>
      <c r="C296" s="39" t="s">
        <v>348</v>
      </c>
      <c r="D296" s="39" t="s">
        <v>37</v>
      </c>
      <c r="E296" s="39"/>
      <c r="F296" s="39" t="s">
        <v>43</v>
      </c>
      <c r="G296" s="39" t="s">
        <v>39</v>
      </c>
    </row>
    <row r="297" spans="1:7" x14ac:dyDescent="0.2">
      <c r="A297" s="39" t="s">
        <v>632</v>
      </c>
      <c r="B297" s="39"/>
      <c r="C297" s="39" t="s">
        <v>633</v>
      </c>
      <c r="D297" s="39" t="s">
        <v>37</v>
      </c>
      <c r="E297" s="39"/>
      <c r="F297" s="39" t="s">
        <v>38</v>
      </c>
      <c r="G297" s="39" t="s">
        <v>39</v>
      </c>
    </row>
    <row r="298" spans="1:7" x14ac:dyDescent="0.2">
      <c r="A298" s="39" t="s">
        <v>634</v>
      </c>
      <c r="B298" s="39"/>
      <c r="C298" s="39" t="s">
        <v>635</v>
      </c>
      <c r="D298" s="39" t="s">
        <v>37</v>
      </c>
      <c r="E298" s="39"/>
      <c r="F298" s="39" t="s">
        <v>38</v>
      </c>
      <c r="G298" s="39" t="s">
        <v>39</v>
      </c>
    </row>
    <row r="299" spans="1:7" x14ac:dyDescent="0.2">
      <c r="A299" s="39" t="s">
        <v>636</v>
      </c>
      <c r="B299" s="39"/>
      <c r="C299" s="39" t="s">
        <v>637</v>
      </c>
      <c r="D299" s="39" t="s">
        <v>37</v>
      </c>
      <c r="E299" s="39"/>
      <c r="F299" s="39" t="s">
        <v>38</v>
      </c>
      <c r="G299" s="39" t="s">
        <v>39</v>
      </c>
    </row>
    <row r="300" spans="1:7" x14ac:dyDescent="0.2">
      <c r="A300" s="39" t="s">
        <v>638</v>
      </c>
      <c r="B300" s="39"/>
      <c r="C300" s="39" t="s">
        <v>639</v>
      </c>
      <c r="D300" s="39" t="s">
        <v>37</v>
      </c>
      <c r="E300" s="39"/>
      <c r="F300" s="39" t="s">
        <v>38</v>
      </c>
      <c r="G300" s="39" t="s">
        <v>39</v>
      </c>
    </row>
    <row r="301" spans="1:7" x14ac:dyDescent="0.2">
      <c r="A301" s="39" t="s">
        <v>640</v>
      </c>
      <c r="B301" s="39"/>
      <c r="C301" s="39" t="s">
        <v>641</v>
      </c>
      <c r="D301" s="39" t="s">
        <v>37</v>
      </c>
      <c r="E301" s="39"/>
      <c r="F301" s="39" t="s">
        <v>38</v>
      </c>
      <c r="G301" s="39" t="s">
        <v>39</v>
      </c>
    </row>
    <row r="302" spans="1:7" x14ac:dyDescent="0.2">
      <c r="A302" s="39" t="s">
        <v>642</v>
      </c>
      <c r="B302" s="39"/>
      <c r="C302" s="39" t="s">
        <v>206</v>
      </c>
      <c r="D302" s="39" t="s">
        <v>37</v>
      </c>
      <c r="E302" s="39"/>
      <c r="F302" s="39" t="s">
        <v>38</v>
      </c>
      <c r="G302" s="39" t="s">
        <v>39</v>
      </c>
    </row>
    <row r="303" spans="1:7" x14ac:dyDescent="0.2">
      <c r="A303" s="39" t="s">
        <v>643</v>
      </c>
      <c r="B303" s="39"/>
      <c r="C303" s="39" t="s">
        <v>644</v>
      </c>
      <c r="D303" s="39" t="s">
        <v>37</v>
      </c>
      <c r="E303" s="39"/>
      <c r="F303" s="39" t="s">
        <v>38</v>
      </c>
      <c r="G303" s="39" t="s">
        <v>39</v>
      </c>
    </row>
    <row r="304" spans="1:7" x14ac:dyDescent="0.2">
      <c r="A304" s="39" t="s">
        <v>645</v>
      </c>
      <c r="B304" s="39"/>
      <c r="C304" s="39" t="s">
        <v>646</v>
      </c>
      <c r="D304" s="39" t="s">
        <v>37</v>
      </c>
      <c r="E304" s="39"/>
      <c r="F304" s="39" t="s">
        <v>38</v>
      </c>
      <c r="G304" s="39" t="s">
        <v>39</v>
      </c>
    </row>
    <row r="305" spans="1:7" x14ac:dyDescent="0.2">
      <c r="A305" s="39" t="s">
        <v>647</v>
      </c>
      <c r="B305" s="39"/>
      <c r="C305" s="39" t="s">
        <v>648</v>
      </c>
      <c r="D305" s="39" t="s">
        <v>37</v>
      </c>
      <c r="E305" s="39"/>
      <c r="F305" s="39" t="s">
        <v>43</v>
      </c>
      <c r="G305" s="39" t="s">
        <v>39</v>
      </c>
    </row>
    <row r="306" spans="1:7" x14ac:dyDescent="0.2">
      <c r="A306" s="39" t="s">
        <v>649</v>
      </c>
      <c r="B306" s="39"/>
      <c r="C306" s="39" t="s">
        <v>650</v>
      </c>
      <c r="D306" s="39" t="s">
        <v>37</v>
      </c>
      <c r="E306" s="39"/>
      <c r="F306" s="39" t="s">
        <v>43</v>
      </c>
      <c r="G306" s="39" t="s">
        <v>39</v>
      </c>
    </row>
    <row r="307" spans="1:7" x14ac:dyDescent="0.2">
      <c r="A307" s="39" t="s">
        <v>651</v>
      </c>
      <c r="B307" s="39"/>
      <c r="C307" s="39" t="s">
        <v>652</v>
      </c>
      <c r="D307" s="39" t="s">
        <v>37</v>
      </c>
      <c r="E307" s="39" t="s">
        <v>228</v>
      </c>
      <c r="F307" s="39" t="s">
        <v>43</v>
      </c>
      <c r="G307" s="39" t="s">
        <v>39</v>
      </c>
    </row>
    <row r="308" spans="1:7" x14ac:dyDescent="0.2">
      <c r="A308" s="39" t="s">
        <v>653</v>
      </c>
      <c r="B308" s="39"/>
      <c r="C308" s="39" t="s">
        <v>518</v>
      </c>
      <c r="D308" s="39" t="s">
        <v>37</v>
      </c>
      <c r="E308" s="39" t="s">
        <v>228</v>
      </c>
      <c r="F308" s="39" t="s">
        <v>43</v>
      </c>
      <c r="G308" s="39" t="s">
        <v>39</v>
      </c>
    </row>
    <row r="309" spans="1:7" x14ac:dyDescent="0.2">
      <c r="A309" s="39" t="s">
        <v>654</v>
      </c>
      <c r="B309" s="39"/>
      <c r="C309" s="39" t="s">
        <v>655</v>
      </c>
      <c r="D309" s="39" t="s">
        <v>37</v>
      </c>
      <c r="E309" s="39" t="s">
        <v>433</v>
      </c>
      <c r="F309" s="39" t="s">
        <v>43</v>
      </c>
      <c r="G309" s="39" t="s">
        <v>39</v>
      </c>
    </row>
    <row r="310" spans="1:7" x14ac:dyDescent="0.2">
      <c r="A310" s="39" t="s">
        <v>656</v>
      </c>
      <c r="B310" s="39"/>
      <c r="C310" s="39" t="s">
        <v>657</v>
      </c>
      <c r="D310" s="39" t="s">
        <v>37</v>
      </c>
      <c r="E310" s="39" t="s">
        <v>70</v>
      </c>
      <c r="F310" s="39" t="s">
        <v>43</v>
      </c>
      <c r="G310" s="39" t="s">
        <v>39</v>
      </c>
    </row>
    <row r="311" spans="1:7" x14ac:dyDescent="0.2">
      <c r="A311" s="39" t="s">
        <v>658</v>
      </c>
      <c r="B311" s="39"/>
      <c r="C311" s="39" t="s">
        <v>659</v>
      </c>
      <c r="D311" s="39" t="s">
        <v>37</v>
      </c>
      <c r="E311" s="39"/>
      <c r="F311" s="39" t="s">
        <v>38</v>
      </c>
      <c r="G311" s="39" t="s">
        <v>39</v>
      </c>
    </row>
    <row r="312" spans="1:7" x14ac:dyDescent="0.2">
      <c r="A312" s="39" t="s">
        <v>660</v>
      </c>
      <c r="B312" s="39"/>
      <c r="C312" s="39" t="s">
        <v>661</v>
      </c>
      <c r="D312" s="39" t="s">
        <v>37</v>
      </c>
      <c r="E312" s="39" t="s">
        <v>70</v>
      </c>
      <c r="F312" s="39" t="s">
        <v>43</v>
      </c>
      <c r="G312" s="39" t="s">
        <v>39</v>
      </c>
    </row>
    <row r="313" spans="1:7" x14ac:dyDescent="0.2">
      <c r="A313" s="39" t="s">
        <v>662</v>
      </c>
      <c r="B313" s="39"/>
      <c r="C313" s="39" t="s">
        <v>288</v>
      </c>
      <c r="D313" s="39" t="s">
        <v>37</v>
      </c>
      <c r="E313" s="39" t="s">
        <v>70</v>
      </c>
      <c r="F313" s="39" t="s">
        <v>38</v>
      </c>
      <c r="G313" s="39" t="s">
        <v>39</v>
      </c>
    </row>
    <row r="314" spans="1:7" x14ac:dyDescent="0.2">
      <c r="A314" s="39" t="s">
        <v>663</v>
      </c>
      <c r="B314" s="39"/>
      <c r="C314" s="39" t="s">
        <v>664</v>
      </c>
      <c r="D314" s="39" t="s">
        <v>37</v>
      </c>
      <c r="E314" s="39"/>
      <c r="F314" s="39" t="s">
        <v>43</v>
      </c>
      <c r="G314" s="39" t="s">
        <v>39</v>
      </c>
    </row>
    <row r="315" spans="1:7" x14ac:dyDescent="0.2">
      <c r="A315" s="39" t="s">
        <v>665</v>
      </c>
      <c r="B315" s="39"/>
      <c r="C315" s="39" t="s">
        <v>666</v>
      </c>
      <c r="D315" s="39" t="s">
        <v>37</v>
      </c>
      <c r="E315" s="39"/>
      <c r="F315" s="39" t="s">
        <v>38</v>
      </c>
      <c r="G315" s="39" t="s">
        <v>39</v>
      </c>
    </row>
    <row r="316" spans="1:7" x14ac:dyDescent="0.2">
      <c r="A316" s="39" t="s">
        <v>667</v>
      </c>
      <c r="B316" s="39"/>
      <c r="C316" s="39" t="s">
        <v>668</v>
      </c>
      <c r="D316" s="39" t="s">
        <v>37</v>
      </c>
      <c r="E316" s="39"/>
      <c r="F316" s="39" t="s">
        <v>43</v>
      </c>
      <c r="G316" s="39" t="s">
        <v>39</v>
      </c>
    </row>
    <row r="317" spans="1:7" x14ac:dyDescent="0.2">
      <c r="A317" s="39" t="s">
        <v>669</v>
      </c>
      <c r="B317" s="39"/>
      <c r="C317" s="39" t="s">
        <v>670</v>
      </c>
      <c r="D317" s="39" t="s">
        <v>37</v>
      </c>
      <c r="E317" s="39"/>
      <c r="F317" s="39" t="s">
        <v>43</v>
      </c>
      <c r="G317" s="39" t="s">
        <v>39</v>
      </c>
    </row>
    <row r="318" spans="1:7" x14ac:dyDescent="0.2">
      <c r="A318" s="39" t="s">
        <v>671</v>
      </c>
      <c r="B318" s="39"/>
      <c r="C318" s="39" t="s">
        <v>672</v>
      </c>
      <c r="D318" s="39" t="s">
        <v>37</v>
      </c>
      <c r="E318" s="39"/>
      <c r="F318" s="39" t="s">
        <v>43</v>
      </c>
      <c r="G318" s="39" t="s">
        <v>39</v>
      </c>
    </row>
    <row r="319" spans="1:7" x14ac:dyDescent="0.2">
      <c r="A319" s="39" t="s">
        <v>673</v>
      </c>
      <c r="B319" s="39"/>
      <c r="C319" s="39" t="s">
        <v>674</v>
      </c>
      <c r="D319" s="39" t="s">
        <v>37</v>
      </c>
      <c r="E319" s="39" t="s">
        <v>368</v>
      </c>
      <c r="F319" s="39" t="s">
        <v>43</v>
      </c>
      <c r="G319" s="39" t="s">
        <v>39</v>
      </c>
    </row>
    <row r="320" spans="1:7" x14ac:dyDescent="0.2">
      <c r="A320" s="39" t="s">
        <v>675</v>
      </c>
      <c r="B320" s="39"/>
      <c r="C320" s="39" t="s">
        <v>676</v>
      </c>
      <c r="D320" s="39" t="s">
        <v>37</v>
      </c>
      <c r="E320" s="39"/>
      <c r="F320" s="39" t="s">
        <v>43</v>
      </c>
      <c r="G320" s="39" t="s">
        <v>39</v>
      </c>
    </row>
    <row r="321" spans="1:7" x14ac:dyDescent="0.2">
      <c r="A321" s="39" t="s">
        <v>677</v>
      </c>
      <c r="B321" s="39"/>
      <c r="C321" s="39" t="s">
        <v>678</v>
      </c>
      <c r="D321" s="39" t="s">
        <v>37</v>
      </c>
      <c r="E321" s="39" t="s">
        <v>214</v>
      </c>
      <c r="F321" s="39" t="s">
        <v>43</v>
      </c>
      <c r="G321" s="39" t="s">
        <v>39</v>
      </c>
    </row>
    <row r="322" spans="1:7" x14ac:dyDescent="0.2">
      <c r="A322" s="39" t="s">
        <v>679</v>
      </c>
      <c r="B322" s="39"/>
      <c r="C322" s="39" t="s">
        <v>680</v>
      </c>
      <c r="D322" s="39" t="s">
        <v>37</v>
      </c>
      <c r="E322" s="39" t="s">
        <v>590</v>
      </c>
      <c r="F322" s="39" t="s">
        <v>38</v>
      </c>
      <c r="G322" s="39" t="s">
        <v>39</v>
      </c>
    </row>
    <row r="323" spans="1:7" x14ac:dyDescent="0.2">
      <c r="A323" s="39" t="s">
        <v>681</v>
      </c>
      <c r="B323" s="39"/>
      <c r="C323" s="39" t="s">
        <v>682</v>
      </c>
      <c r="D323" s="39" t="s">
        <v>37</v>
      </c>
      <c r="E323" s="39"/>
      <c r="F323" s="39" t="s">
        <v>43</v>
      </c>
      <c r="G323" s="39" t="s">
        <v>39</v>
      </c>
    </row>
    <row r="324" spans="1:7" x14ac:dyDescent="0.2">
      <c r="A324" s="39" t="s">
        <v>683</v>
      </c>
      <c r="B324" s="39"/>
      <c r="C324" s="39" t="s">
        <v>684</v>
      </c>
      <c r="D324" s="39" t="s">
        <v>37</v>
      </c>
      <c r="E324" s="39"/>
      <c r="F324" s="39" t="s">
        <v>43</v>
      </c>
      <c r="G324" s="39" t="s">
        <v>39</v>
      </c>
    </row>
    <row r="325" spans="1:7" x14ac:dyDescent="0.2">
      <c r="A325" s="39" t="s">
        <v>685</v>
      </c>
      <c r="B325" s="39"/>
      <c r="C325" s="39" t="s">
        <v>686</v>
      </c>
      <c r="D325" s="39" t="s">
        <v>37</v>
      </c>
      <c r="E325" s="39"/>
      <c r="F325" s="39" t="s">
        <v>43</v>
      </c>
      <c r="G325" s="39" t="s">
        <v>39</v>
      </c>
    </row>
    <row r="326" spans="1:7" x14ac:dyDescent="0.2">
      <c r="A326" s="39" t="s">
        <v>687</v>
      </c>
      <c r="B326" s="39"/>
      <c r="C326" s="39" t="s">
        <v>688</v>
      </c>
      <c r="D326" s="39" t="s">
        <v>37</v>
      </c>
      <c r="E326" s="39" t="s">
        <v>338</v>
      </c>
      <c r="F326" s="39" t="s">
        <v>43</v>
      </c>
      <c r="G326" s="39" t="s">
        <v>39</v>
      </c>
    </row>
    <row r="327" spans="1:7" x14ac:dyDescent="0.2">
      <c r="A327" s="39" t="s">
        <v>689</v>
      </c>
      <c r="B327" s="39"/>
      <c r="C327" s="39" t="s">
        <v>690</v>
      </c>
      <c r="D327" s="39" t="s">
        <v>37</v>
      </c>
      <c r="E327" s="39" t="s">
        <v>115</v>
      </c>
      <c r="F327" s="39" t="s">
        <v>43</v>
      </c>
      <c r="G327" s="39" t="s">
        <v>39</v>
      </c>
    </row>
    <row r="328" spans="1:7" x14ac:dyDescent="0.2">
      <c r="A328" s="39" t="s">
        <v>691</v>
      </c>
      <c r="B328" s="39"/>
      <c r="C328" s="39" t="s">
        <v>692</v>
      </c>
      <c r="D328" s="39" t="s">
        <v>37</v>
      </c>
      <c r="E328" s="39"/>
      <c r="F328" s="39" t="s">
        <v>43</v>
      </c>
      <c r="G328" s="39" t="s">
        <v>39</v>
      </c>
    </row>
    <row r="329" spans="1:7" x14ac:dyDescent="0.2">
      <c r="A329" s="39" t="s">
        <v>693</v>
      </c>
      <c r="B329" s="39"/>
      <c r="C329" s="39" t="s">
        <v>694</v>
      </c>
      <c r="D329" s="39" t="s">
        <v>37</v>
      </c>
      <c r="E329" s="39" t="s">
        <v>103</v>
      </c>
      <c r="F329" s="39" t="s">
        <v>43</v>
      </c>
      <c r="G329" s="39" t="s">
        <v>39</v>
      </c>
    </row>
    <row r="330" spans="1:7" x14ac:dyDescent="0.2">
      <c r="A330" s="39" t="s">
        <v>695</v>
      </c>
      <c r="B330" s="39"/>
      <c r="C330" s="39" t="s">
        <v>696</v>
      </c>
      <c r="D330" s="39" t="s">
        <v>37</v>
      </c>
      <c r="E330" s="39"/>
      <c r="F330" s="39" t="s">
        <v>43</v>
      </c>
      <c r="G330" s="39" t="s">
        <v>39</v>
      </c>
    </row>
    <row r="331" spans="1:7" x14ac:dyDescent="0.2">
      <c r="A331" s="39" t="s">
        <v>697</v>
      </c>
      <c r="B331" s="39"/>
      <c r="C331" s="39" t="s">
        <v>698</v>
      </c>
      <c r="D331" s="39" t="s">
        <v>37</v>
      </c>
      <c r="E331" s="39"/>
      <c r="F331" s="39" t="s">
        <v>43</v>
      </c>
      <c r="G331" s="39" t="s">
        <v>39</v>
      </c>
    </row>
    <row r="332" spans="1:7" x14ac:dyDescent="0.2">
      <c r="A332" s="39" t="s">
        <v>699</v>
      </c>
      <c r="B332" s="39"/>
      <c r="C332" s="39" t="s">
        <v>700</v>
      </c>
      <c r="D332" s="39" t="s">
        <v>37</v>
      </c>
      <c r="E332" s="39" t="s">
        <v>265</v>
      </c>
      <c r="F332" s="39" t="s">
        <v>38</v>
      </c>
      <c r="G332" s="39" t="s">
        <v>39</v>
      </c>
    </row>
    <row r="333" spans="1:7" x14ac:dyDescent="0.2">
      <c r="A333" s="39" t="s">
        <v>701</v>
      </c>
      <c r="B333" s="39"/>
      <c r="C333" s="39" t="s">
        <v>686</v>
      </c>
      <c r="D333" s="39" t="s">
        <v>37</v>
      </c>
      <c r="E333" s="39"/>
      <c r="F333" s="39" t="s">
        <v>43</v>
      </c>
      <c r="G333" s="39" t="s">
        <v>39</v>
      </c>
    </row>
    <row r="334" spans="1:7" x14ac:dyDescent="0.2">
      <c r="A334" s="39" t="s">
        <v>702</v>
      </c>
      <c r="B334" s="39"/>
      <c r="C334" s="39" t="s">
        <v>405</v>
      </c>
      <c r="D334" s="39" t="s">
        <v>37</v>
      </c>
      <c r="E334" s="39"/>
      <c r="F334" s="39" t="s">
        <v>43</v>
      </c>
      <c r="G334" s="39" t="s">
        <v>39</v>
      </c>
    </row>
    <row r="335" spans="1:7" x14ac:dyDescent="0.2">
      <c r="A335" s="39" t="s">
        <v>703</v>
      </c>
      <c r="B335" s="39"/>
      <c r="C335" s="39" t="s">
        <v>704</v>
      </c>
      <c r="D335" s="39" t="s">
        <v>37</v>
      </c>
      <c r="E335" s="39"/>
      <c r="F335" s="39" t="s">
        <v>43</v>
      </c>
      <c r="G335" s="39" t="s">
        <v>39</v>
      </c>
    </row>
    <row r="336" spans="1:7" x14ac:dyDescent="0.2">
      <c r="A336" s="39" t="s">
        <v>705</v>
      </c>
      <c r="B336" s="39"/>
      <c r="C336" s="39" t="s">
        <v>447</v>
      </c>
      <c r="D336" s="39" t="s">
        <v>37</v>
      </c>
      <c r="E336" s="39"/>
      <c r="F336" s="39" t="s">
        <v>43</v>
      </c>
      <c r="G336" s="39" t="s">
        <v>39</v>
      </c>
    </row>
    <row r="337" spans="1:7" x14ac:dyDescent="0.2">
      <c r="A337" s="39" t="s">
        <v>706</v>
      </c>
      <c r="B337" s="39"/>
      <c r="C337" s="39" t="s">
        <v>707</v>
      </c>
      <c r="D337" s="39" t="s">
        <v>37</v>
      </c>
      <c r="E337" s="39" t="s">
        <v>204</v>
      </c>
      <c r="F337" s="39" t="s">
        <v>43</v>
      </c>
      <c r="G337" s="39" t="s">
        <v>39</v>
      </c>
    </row>
    <row r="338" spans="1:7" x14ac:dyDescent="0.2">
      <c r="A338" s="39" t="s">
        <v>708</v>
      </c>
      <c r="B338" s="39"/>
      <c r="C338" s="39" t="s">
        <v>709</v>
      </c>
      <c r="D338" s="39" t="s">
        <v>37</v>
      </c>
      <c r="E338" s="39"/>
      <c r="F338" s="39" t="s">
        <v>43</v>
      </c>
      <c r="G338" s="39" t="s">
        <v>39</v>
      </c>
    </row>
    <row r="339" spans="1:7" x14ac:dyDescent="0.2">
      <c r="A339" s="39" t="s">
        <v>710</v>
      </c>
      <c r="B339" s="39"/>
      <c r="C339" s="39" t="s">
        <v>711</v>
      </c>
      <c r="D339" s="39" t="s">
        <v>37</v>
      </c>
      <c r="E339" s="39"/>
      <c r="F339" s="39" t="s">
        <v>43</v>
      </c>
      <c r="G339" s="39" t="s">
        <v>39</v>
      </c>
    </row>
    <row r="340" spans="1:7" x14ac:dyDescent="0.2">
      <c r="A340" s="39" t="s">
        <v>712</v>
      </c>
      <c r="B340" s="39"/>
      <c r="C340" s="39" t="s">
        <v>713</v>
      </c>
      <c r="D340" s="39" t="s">
        <v>37</v>
      </c>
      <c r="E340" s="39" t="s">
        <v>331</v>
      </c>
      <c r="F340" s="39" t="s">
        <v>43</v>
      </c>
      <c r="G340" s="39" t="s">
        <v>39</v>
      </c>
    </row>
    <row r="341" spans="1:7" x14ac:dyDescent="0.2">
      <c r="A341" s="39" t="s">
        <v>714</v>
      </c>
      <c r="B341" s="39"/>
      <c r="C341" s="39" t="s">
        <v>356</v>
      </c>
      <c r="D341" s="39" t="s">
        <v>37</v>
      </c>
      <c r="E341" s="39"/>
      <c r="F341" s="39" t="s">
        <v>43</v>
      </c>
      <c r="G341" s="39" t="s">
        <v>39</v>
      </c>
    </row>
    <row r="342" spans="1:7" x14ac:dyDescent="0.2">
      <c r="A342" s="39" t="s">
        <v>715</v>
      </c>
      <c r="B342" s="39"/>
      <c r="C342" s="39" t="s">
        <v>716</v>
      </c>
      <c r="D342" s="39" t="s">
        <v>37</v>
      </c>
      <c r="E342" s="39"/>
      <c r="F342" s="39" t="s">
        <v>43</v>
      </c>
      <c r="G342" s="39" t="s">
        <v>39</v>
      </c>
    </row>
    <row r="343" spans="1:7" x14ac:dyDescent="0.2">
      <c r="A343" s="39" t="s">
        <v>717</v>
      </c>
      <c r="B343" s="39"/>
      <c r="C343" s="39" t="s">
        <v>718</v>
      </c>
      <c r="D343" s="39" t="s">
        <v>37</v>
      </c>
      <c r="E343" s="39"/>
      <c r="F343" s="39" t="s">
        <v>43</v>
      </c>
      <c r="G343" s="39" t="s">
        <v>39</v>
      </c>
    </row>
    <row r="344" spans="1:7" x14ac:dyDescent="0.2">
      <c r="A344" s="39" t="s">
        <v>719</v>
      </c>
      <c r="B344" s="39"/>
      <c r="C344" s="39" t="s">
        <v>646</v>
      </c>
      <c r="D344" s="39" t="s">
        <v>37</v>
      </c>
      <c r="E344" s="39" t="s">
        <v>338</v>
      </c>
      <c r="F344" s="39" t="s">
        <v>43</v>
      </c>
      <c r="G344" s="39" t="s">
        <v>39</v>
      </c>
    </row>
    <row r="345" spans="1:7" x14ac:dyDescent="0.2">
      <c r="A345" s="39" t="s">
        <v>720</v>
      </c>
      <c r="B345" s="39"/>
      <c r="C345" s="39" t="s">
        <v>721</v>
      </c>
      <c r="D345" s="39" t="s">
        <v>37</v>
      </c>
      <c r="E345" s="39"/>
      <c r="F345" s="39" t="s">
        <v>43</v>
      </c>
      <c r="G345" s="39" t="s">
        <v>39</v>
      </c>
    </row>
    <row r="346" spans="1:7" x14ac:dyDescent="0.2">
      <c r="A346" s="39" t="s">
        <v>722</v>
      </c>
      <c r="B346" s="39"/>
      <c r="C346" s="39" t="s">
        <v>723</v>
      </c>
      <c r="D346" s="39" t="s">
        <v>37</v>
      </c>
      <c r="E346" s="39"/>
      <c r="F346" s="39" t="s">
        <v>43</v>
      </c>
      <c r="G346" s="39" t="s">
        <v>39</v>
      </c>
    </row>
    <row r="347" spans="1:7" x14ac:dyDescent="0.2">
      <c r="A347" s="39" t="s">
        <v>724</v>
      </c>
      <c r="B347" s="39"/>
      <c r="C347" s="39" t="s">
        <v>725</v>
      </c>
      <c r="D347" s="39" t="s">
        <v>37</v>
      </c>
      <c r="E347" s="39" t="s">
        <v>272</v>
      </c>
      <c r="F347" s="39" t="s">
        <v>43</v>
      </c>
      <c r="G347" s="39" t="s">
        <v>39</v>
      </c>
    </row>
    <row r="348" spans="1:7" x14ac:dyDescent="0.2">
      <c r="A348" s="39" t="s">
        <v>726</v>
      </c>
      <c r="B348" s="39"/>
      <c r="C348" s="39" t="s">
        <v>441</v>
      </c>
      <c r="D348" s="39" t="s">
        <v>37</v>
      </c>
      <c r="E348" s="39"/>
      <c r="F348" s="39" t="s">
        <v>43</v>
      </c>
      <c r="G348" s="39" t="s">
        <v>39</v>
      </c>
    </row>
    <row r="349" spans="1:7" x14ac:dyDescent="0.2">
      <c r="A349" s="39" t="s">
        <v>727</v>
      </c>
      <c r="B349" s="39"/>
      <c r="C349" s="39" t="s">
        <v>728</v>
      </c>
      <c r="D349" s="39" t="s">
        <v>37</v>
      </c>
      <c r="E349" s="39"/>
      <c r="F349" s="39" t="s">
        <v>43</v>
      </c>
      <c r="G349" s="39" t="s">
        <v>39</v>
      </c>
    </row>
    <row r="350" spans="1:7" x14ac:dyDescent="0.2">
      <c r="A350" s="39" t="s">
        <v>729</v>
      </c>
      <c r="B350" s="39"/>
      <c r="C350" s="39" t="s">
        <v>730</v>
      </c>
      <c r="D350" s="39" t="s">
        <v>37</v>
      </c>
      <c r="E350" s="39" t="s">
        <v>338</v>
      </c>
      <c r="F350" s="39" t="s">
        <v>43</v>
      </c>
      <c r="G350" s="39" t="s">
        <v>39</v>
      </c>
    </row>
    <row r="351" spans="1:7" x14ac:dyDescent="0.2">
      <c r="A351" s="39" t="s">
        <v>731</v>
      </c>
      <c r="B351" s="39"/>
      <c r="C351" s="39" t="s">
        <v>732</v>
      </c>
      <c r="D351" s="39" t="s">
        <v>37</v>
      </c>
      <c r="E351" s="39" t="s">
        <v>214</v>
      </c>
      <c r="F351" s="39" t="s">
        <v>43</v>
      </c>
      <c r="G351" s="39" t="s">
        <v>39</v>
      </c>
    </row>
    <row r="352" spans="1:7" x14ac:dyDescent="0.2">
      <c r="A352" s="39" t="s">
        <v>733</v>
      </c>
      <c r="B352" s="39"/>
      <c r="C352" s="39" t="s">
        <v>734</v>
      </c>
      <c r="D352" s="39" t="s">
        <v>37</v>
      </c>
      <c r="E352" s="39"/>
      <c r="F352" s="39" t="s">
        <v>43</v>
      </c>
      <c r="G352" s="39" t="s">
        <v>39</v>
      </c>
    </row>
    <row r="353" spans="1:7" x14ac:dyDescent="0.2">
      <c r="A353" s="39" t="s">
        <v>735</v>
      </c>
      <c r="B353" s="39"/>
      <c r="C353" s="39" t="s">
        <v>736</v>
      </c>
      <c r="D353" s="39" t="s">
        <v>37</v>
      </c>
      <c r="E353" s="39"/>
      <c r="F353" s="39" t="s">
        <v>43</v>
      </c>
      <c r="G353" s="39" t="s">
        <v>39</v>
      </c>
    </row>
    <row r="354" spans="1:7" x14ac:dyDescent="0.2">
      <c r="A354" s="39" t="s">
        <v>737</v>
      </c>
      <c r="B354" s="39"/>
      <c r="C354" s="39" t="s">
        <v>738</v>
      </c>
      <c r="D354" s="39" t="s">
        <v>37</v>
      </c>
      <c r="E354" s="39"/>
      <c r="F354" s="39" t="s">
        <v>43</v>
      </c>
      <c r="G354" s="39" t="s">
        <v>39</v>
      </c>
    </row>
    <row r="355" spans="1:7" x14ac:dyDescent="0.2">
      <c r="A355" s="39" t="s">
        <v>739</v>
      </c>
      <c r="B355" s="39"/>
      <c r="C355" s="39" t="s">
        <v>740</v>
      </c>
      <c r="D355" s="39" t="s">
        <v>37</v>
      </c>
      <c r="E355" s="39"/>
      <c r="F355" s="39" t="s">
        <v>43</v>
      </c>
      <c r="G355" s="39" t="s">
        <v>39</v>
      </c>
    </row>
    <row r="356" spans="1:7" x14ac:dyDescent="0.2">
      <c r="A356" s="39" t="s">
        <v>741</v>
      </c>
      <c r="B356" s="39"/>
      <c r="C356" s="39" t="s">
        <v>742</v>
      </c>
      <c r="D356" s="39" t="s">
        <v>37</v>
      </c>
      <c r="E356" s="39"/>
      <c r="F356" s="39" t="s">
        <v>43</v>
      </c>
      <c r="G356" s="39" t="s">
        <v>39</v>
      </c>
    </row>
    <row r="357" spans="1:7" x14ac:dyDescent="0.2">
      <c r="A357" s="39" t="s">
        <v>743</v>
      </c>
      <c r="B357" s="39"/>
      <c r="C357" s="39" t="s">
        <v>744</v>
      </c>
      <c r="D357" s="39" t="s">
        <v>37</v>
      </c>
      <c r="E357" s="39"/>
      <c r="F357" s="39" t="s">
        <v>43</v>
      </c>
      <c r="G357" s="39" t="s">
        <v>39</v>
      </c>
    </row>
    <row r="358" spans="1:7" x14ac:dyDescent="0.2">
      <c r="A358" s="39" t="s">
        <v>745</v>
      </c>
      <c r="B358" s="39"/>
      <c r="C358" s="39" t="s">
        <v>746</v>
      </c>
      <c r="D358" s="39" t="s">
        <v>37</v>
      </c>
      <c r="E358" s="39"/>
      <c r="F358" s="39" t="s">
        <v>100</v>
      </c>
      <c r="G358" s="39" t="s">
        <v>39</v>
      </c>
    </row>
    <row r="359" spans="1:7" x14ac:dyDescent="0.2">
      <c r="A359" s="39" t="s">
        <v>747</v>
      </c>
      <c r="B359" s="39"/>
      <c r="C359" s="39" t="s">
        <v>477</v>
      </c>
      <c r="D359" s="39" t="s">
        <v>37</v>
      </c>
      <c r="E359" s="39"/>
      <c r="F359" s="39" t="s">
        <v>100</v>
      </c>
      <c r="G359" s="39" t="s">
        <v>39</v>
      </c>
    </row>
    <row r="360" spans="1:7" x14ac:dyDescent="0.2">
      <c r="A360" s="39" t="s">
        <v>748</v>
      </c>
      <c r="B360" s="39"/>
      <c r="C360" s="39" t="s">
        <v>749</v>
      </c>
      <c r="D360" s="39" t="s">
        <v>37</v>
      </c>
      <c r="E360" s="39" t="s">
        <v>208</v>
      </c>
      <c r="F360" s="39" t="s">
        <v>38</v>
      </c>
      <c r="G360" s="39" t="s">
        <v>39</v>
      </c>
    </row>
    <row r="361" spans="1:7" x14ac:dyDescent="0.2">
      <c r="A361" s="39" t="s">
        <v>750</v>
      </c>
      <c r="B361" s="39"/>
      <c r="C361" s="39" t="s">
        <v>206</v>
      </c>
      <c r="D361" s="39" t="s">
        <v>37</v>
      </c>
      <c r="E361" s="39"/>
      <c r="F361" s="39" t="s">
        <v>100</v>
      </c>
      <c r="G361" s="39" t="s">
        <v>39</v>
      </c>
    </row>
    <row r="362" spans="1:7" x14ac:dyDescent="0.2">
      <c r="A362" s="39" t="s">
        <v>751</v>
      </c>
      <c r="B362" s="39"/>
      <c r="C362" s="39" t="s">
        <v>752</v>
      </c>
      <c r="D362" s="39" t="s">
        <v>37</v>
      </c>
      <c r="E362" s="39"/>
      <c r="F362" s="39" t="s">
        <v>38</v>
      </c>
      <c r="G362" s="39" t="s">
        <v>39</v>
      </c>
    </row>
    <row r="363" spans="1:7" x14ac:dyDescent="0.2">
      <c r="A363" s="39" t="s">
        <v>753</v>
      </c>
      <c r="B363" s="39"/>
      <c r="C363" s="39" t="s">
        <v>754</v>
      </c>
      <c r="D363" s="39" t="s">
        <v>37</v>
      </c>
      <c r="E363" s="39"/>
      <c r="F363" s="39" t="s">
        <v>38</v>
      </c>
      <c r="G363" s="39" t="s">
        <v>39</v>
      </c>
    </row>
    <row r="364" spans="1:7" x14ac:dyDescent="0.2">
      <c r="A364" s="39" t="s">
        <v>755</v>
      </c>
      <c r="B364" s="39"/>
      <c r="C364" s="39" t="s">
        <v>756</v>
      </c>
      <c r="D364" s="39" t="s">
        <v>37</v>
      </c>
      <c r="E364" s="39"/>
      <c r="F364" s="39" t="s">
        <v>100</v>
      </c>
      <c r="G364" s="39" t="s">
        <v>39</v>
      </c>
    </row>
    <row r="365" spans="1:7" x14ac:dyDescent="0.2">
      <c r="A365" s="39" t="s">
        <v>757</v>
      </c>
      <c r="B365" s="39"/>
      <c r="C365" s="39" t="s">
        <v>758</v>
      </c>
      <c r="D365" s="39" t="s">
        <v>37</v>
      </c>
      <c r="E365" s="39" t="s">
        <v>265</v>
      </c>
      <c r="F365" s="39" t="s">
        <v>38</v>
      </c>
      <c r="G365" s="39" t="s">
        <v>39</v>
      </c>
    </row>
    <row r="366" spans="1:7" x14ac:dyDescent="0.2">
      <c r="A366" s="39" t="s">
        <v>759</v>
      </c>
      <c r="B366" s="39"/>
      <c r="C366" s="39" t="s">
        <v>760</v>
      </c>
      <c r="D366" s="39" t="s">
        <v>37</v>
      </c>
      <c r="E366" s="39"/>
      <c r="F366" s="39" t="s">
        <v>43</v>
      </c>
      <c r="G366" s="39" t="s">
        <v>39</v>
      </c>
    </row>
    <row r="367" spans="1:7" x14ac:dyDescent="0.2">
      <c r="A367" s="39" t="s">
        <v>761</v>
      </c>
      <c r="B367" s="39"/>
      <c r="C367" s="39" t="s">
        <v>762</v>
      </c>
      <c r="D367" s="39" t="s">
        <v>37</v>
      </c>
      <c r="E367" s="39" t="s">
        <v>433</v>
      </c>
      <c r="F367" s="39" t="s">
        <v>38</v>
      </c>
      <c r="G367" s="39" t="s">
        <v>39</v>
      </c>
    </row>
    <row r="368" spans="1:7" x14ac:dyDescent="0.2">
      <c r="A368" s="39" t="s">
        <v>763</v>
      </c>
      <c r="B368" s="39"/>
      <c r="C368" s="39" t="s">
        <v>764</v>
      </c>
      <c r="D368" s="39" t="s">
        <v>37</v>
      </c>
      <c r="E368" s="39"/>
      <c r="F368" s="39" t="s">
        <v>43</v>
      </c>
      <c r="G368" s="39" t="s">
        <v>39</v>
      </c>
    </row>
    <row r="369" spans="1:7" x14ac:dyDescent="0.2">
      <c r="A369" s="39" t="s">
        <v>765</v>
      </c>
      <c r="B369" s="39"/>
      <c r="C369" s="39" t="s">
        <v>766</v>
      </c>
      <c r="D369" s="39" t="s">
        <v>37</v>
      </c>
      <c r="E369" s="39" t="s">
        <v>338</v>
      </c>
      <c r="F369" s="39" t="s">
        <v>43</v>
      </c>
      <c r="G369" s="39" t="s">
        <v>39</v>
      </c>
    </row>
    <row r="370" spans="1:7" x14ac:dyDescent="0.2">
      <c r="A370" s="39" t="s">
        <v>767</v>
      </c>
      <c r="B370" s="39"/>
      <c r="C370" s="39" t="s">
        <v>768</v>
      </c>
      <c r="D370" s="39" t="s">
        <v>37</v>
      </c>
      <c r="E370" s="39" t="s">
        <v>165</v>
      </c>
      <c r="F370" s="39" t="s">
        <v>43</v>
      </c>
      <c r="G370" s="39" t="s">
        <v>39</v>
      </c>
    </row>
    <row r="371" spans="1:7" x14ac:dyDescent="0.2">
      <c r="A371" s="39" t="s">
        <v>769</v>
      </c>
      <c r="B371" s="39"/>
      <c r="C371" s="39" t="s">
        <v>139</v>
      </c>
      <c r="D371" s="39" t="s">
        <v>37</v>
      </c>
      <c r="E371" s="39" t="s">
        <v>115</v>
      </c>
      <c r="F371" s="39" t="s">
        <v>38</v>
      </c>
      <c r="G371" s="39" t="s">
        <v>39</v>
      </c>
    </row>
    <row r="372" spans="1:7" x14ac:dyDescent="0.2">
      <c r="A372" s="39" t="s">
        <v>770</v>
      </c>
      <c r="B372" s="39"/>
      <c r="C372" s="39" t="s">
        <v>771</v>
      </c>
      <c r="D372" s="39" t="s">
        <v>37</v>
      </c>
      <c r="E372" s="39" t="s">
        <v>516</v>
      </c>
      <c r="F372" s="39" t="s">
        <v>43</v>
      </c>
      <c r="G372" s="39" t="s">
        <v>39</v>
      </c>
    </row>
    <row r="373" spans="1:7" x14ac:dyDescent="0.2">
      <c r="A373" s="39" t="s">
        <v>772</v>
      </c>
      <c r="B373" s="39"/>
      <c r="C373" s="39" t="s">
        <v>773</v>
      </c>
      <c r="D373" s="39" t="s">
        <v>37</v>
      </c>
      <c r="E373" s="39" t="s">
        <v>368</v>
      </c>
      <c r="F373" s="39" t="s">
        <v>43</v>
      </c>
      <c r="G373" s="39" t="s">
        <v>39</v>
      </c>
    </row>
    <row r="374" spans="1:7" x14ac:dyDescent="0.2">
      <c r="A374" s="39" t="s">
        <v>774</v>
      </c>
      <c r="B374" s="39"/>
      <c r="C374" s="39" t="s">
        <v>775</v>
      </c>
      <c r="D374" s="39" t="s">
        <v>37</v>
      </c>
      <c r="E374" s="39"/>
      <c r="F374" s="39" t="s">
        <v>43</v>
      </c>
      <c r="G374" s="39" t="s">
        <v>39</v>
      </c>
    </row>
    <row r="375" spans="1:7" x14ac:dyDescent="0.2">
      <c r="A375" s="39" t="s">
        <v>776</v>
      </c>
      <c r="B375" s="39"/>
      <c r="C375" s="39" t="s">
        <v>777</v>
      </c>
      <c r="D375" s="39" t="s">
        <v>37</v>
      </c>
      <c r="E375" s="39"/>
      <c r="F375" s="39" t="s">
        <v>43</v>
      </c>
      <c r="G375" s="39" t="s">
        <v>39</v>
      </c>
    </row>
    <row r="376" spans="1:7" x14ac:dyDescent="0.2">
      <c r="A376" s="39" t="s">
        <v>778</v>
      </c>
      <c r="B376" s="39"/>
      <c r="C376" s="39" t="s">
        <v>779</v>
      </c>
      <c r="D376" s="39" t="s">
        <v>37</v>
      </c>
      <c r="E376" s="39"/>
      <c r="F376" s="39" t="s">
        <v>43</v>
      </c>
      <c r="G376" s="39" t="s">
        <v>39</v>
      </c>
    </row>
    <row r="377" spans="1:7" x14ac:dyDescent="0.2">
      <c r="A377" s="39" t="s">
        <v>780</v>
      </c>
      <c r="B377" s="39"/>
      <c r="C377" s="39" t="s">
        <v>781</v>
      </c>
      <c r="D377" s="39" t="s">
        <v>37</v>
      </c>
      <c r="E377" s="39"/>
      <c r="F377" s="39" t="s">
        <v>43</v>
      </c>
      <c r="G377" s="39" t="s">
        <v>39</v>
      </c>
    </row>
    <row r="378" spans="1:7" x14ac:dyDescent="0.2">
      <c r="A378" s="39" t="s">
        <v>782</v>
      </c>
      <c r="B378" s="39"/>
      <c r="C378" s="39" t="s">
        <v>295</v>
      </c>
      <c r="D378" s="39" t="s">
        <v>37</v>
      </c>
      <c r="E378" s="39"/>
      <c r="F378" s="39" t="s">
        <v>38</v>
      </c>
      <c r="G378" s="39" t="s">
        <v>39</v>
      </c>
    </row>
    <row r="379" spans="1:7" x14ac:dyDescent="0.2">
      <c r="A379" s="39" t="s">
        <v>783</v>
      </c>
      <c r="B379" s="39"/>
      <c r="C379" s="39" t="s">
        <v>784</v>
      </c>
      <c r="D379" s="39" t="s">
        <v>37</v>
      </c>
      <c r="E379" s="39"/>
      <c r="F379" s="39" t="s">
        <v>43</v>
      </c>
      <c r="G379" s="39" t="s">
        <v>39</v>
      </c>
    </row>
    <row r="380" spans="1:7" x14ac:dyDescent="0.2">
      <c r="A380" s="39" t="s">
        <v>785</v>
      </c>
      <c r="B380" s="39"/>
      <c r="C380" s="39" t="s">
        <v>786</v>
      </c>
      <c r="D380" s="39" t="s">
        <v>37</v>
      </c>
      <c r="E380" s="39" t="s">
        <v>143</v>
      </c>
      <c r="F380" s="39" t="s">
        <v>38</v>
      </c>
      <c r="G380" s="39" t="s">
        <v>39</v>
      </c>
    </row>
    <row r="381" spans="1:7" x14ac:dyDescent="0.2">
      <c r="A381" s="39" t="s">
        <v>787</v>
      </c>
      <c r="B381" s="39"/>
      <c r="C381" s="39" t="s">
        <v>85</v>
      </c>
      <c r="D381" s="39" t="s">
        <v>37</v>
      </c>
      <c r="E381" s="39"/>
      <c r="F381" s="39" t="s">
        <v>43</v>
      </c>
      <c r="G381" s="39" t="s">
        <v>39</v>
      </c>
    </row>
    <row r="382" spans="1:7" x14ac:dyDescent="0.2">
      <c r="A382" s="39" t="s">
        <v>788</v>
      </c>
      <c r="B382" s="39"/>
      <c r="C382" s="39" t="s">
        <v>789</v>
      </c>
      <c r="D382" s="39" t="s">
        <v>37</v>
      </c>
      <c r="E382" s="39" t="s">
        <v>167</v>
      </c>
      <c r="F382" s="39" t="s">
        <v>38</v>
      </c>
      <c r="G382" s="39" t="s">
        <v>39</v>
      </c>
    </row>
    <row r="383" spans="1:7" x14ac:dyDescent="0.2">
      <c r="A383" s="39" t="s">
        <v>788</v>
      </c>
      <c r="B383" s="39"/>
      <c r="C383" s="39" t="s">
        <v>790</v>
      </c>
      <c r="D383" s="39" t="s">
        <v>37</v>
      </c>
      <c r="E383" s="39"/>
      <c r="F383" s="39" t="s">
        <v>38</v>
      </c>
      <c r="G383" s="39" t="s">
        <v>39</v>
      </c>
    </row>
    <row r="384" spans="1:7" x14ac:dyDescent="0.2">
      <c r="A384" s="39" t="s">
        <v>788</v>
      </c>
      <c r="B384" s="39"/>
      <c r="C384" s="39" t="s">
        <v>635</v>
      </c>
      <c r="D384" s="39" t="s">
        <v>37</v>
      </c>
      <c r="E384" s="39" t="s">
        <v>516</v>
      </c>
      <c r="F384" s="39" t="s">
        <v>38</v>
      </c>
      <c r="G384" s="39" t="s">
        <v>39</v>
      </c>
    </row>
    <row r="385" spans="1:7" x14ac:dyDescent="0.2">
      <c r="A385" s="39" t="s">
        <v>791</v>
      </c>
      <c r="B385" s="39"/>
      <c r="C385" s="39" t="s">
        <v>792</v>
      </c>
      <c r="D385" s="39" t="s">
        <v>37</v>
      </c>
      <c r="E385" s="39"/>
      <c r="F385" s="39" t="s">
        <v>38</v>
      </c>
      <c r="G385" s="39" t="s">
        <v>39</v>
      </c>
    </row>
    <row r="386" spans="1:7" x14ac:dyDescent="0.2">
      <c r="A386" s="39" t="s">
        <v>793</v>
      </c>
      <c r="B386" s="39"/>
      <c r="C386" s="39" t="s">
        <v>210</v>
      </c>
      <c r="D386" s="39" t="s">
        <v>37</v>
      </c>
      <c r="E386" s="39" t="s">
        <v>211</v>
      </c>
      <c r="F386" s="39" t="s">
        <v>38</v>
      </c>
      <c r="G386" s="39" t="s">
        <v>39</v>
      </c>
    </row>
    <row r="387" spans="1:7" x14ac:dyDescent="0.2">
      <c r="A387" s="39" t="s">
        <v>794</v>
      </c>
      <c r="B387" s="39"/>
      <c r="C387" s="39" t="s">
        <v>795</v>
      </c>
      <c r="D387" s="39" t="s">
        <v>37</v>
      </c>
      <c r="E387" s="39"/>
      <c r="F387" s="39" t="s">
        <v>38</v>
      </c>
      <c r="G387" s="39" t="s">
        <v>39</v>
      </c>
    </row>
    <row r="388" spans="1:7" x14ac:dyDescent="0.2">
      <c r="A388" s="39" t="s">
        <v>796</v>
      </c>
      <c r="B388" s="39"/>
      <c r="C388" s="39" t="s">
        <v>635</v>
      </c>
      <c r="D388" s="39" t="s">
        <v>37</v>
      </c>
      <c r="E388" s="39"/>
      <c r="F388" s="39" t="s">
        <v>38</v>
      </c>
      <c r="G388" s="39" t="s">
        <v>39</v>
      </c>
    </row>
    <row r="389" spans="1:7" x14ac:dyDescent="0.2">
      <c r="A389" s="39" t="s">
        <v>797</v>
      </c>
      <c r="B389" s="39"/>
      <c r="C389" s="39" t="s">
        <v>123</v>
      </c>
      <c r="D389" s="39" t="s">
        <v>37</v>
      </c>
      <c r="E389" s="39"/>
      <c r="F389" s="39" t="s">
        <v>38</v>
      </c>
      <c r="G389" s="39" t="s">
        <v>39</v>
      </c>
    </row>
    <row r="390" spans="1:7" x14ac:dyDescent="0.2">
      <c r="A390" s="39" t="s">
        <v>797</v>
      </c>
      <c r="B390" s="39"/>
      <c r="C390" s="39" t="s">
        <v>798</v>
      </c>
      <c r="D390" s="39" t="s">
        <v>37</v>
      </c>
      <c r="E390" s="39"/>
      <c r="F390" s="39" t="s">
        <v>38</v>
      </c>
      <c r="G390" s="39" t="s">
        <v>39</v>
      </c>
    </row>
    <row r="391" spans="1:7" x14ac:dyDescent="0.2">
      <c r="A391" s="39" t="s">
        <v>797</v>
      </c>
      <c r="B391" s="39"/>
      <c r="C391" s="39" t="s">
        <v>348</v>
      </c>
      <c r="D391" s="39" t="s">
        <v>37</v>
      </c>
      <c r="E391" s="39"/>
      <c r="F391" s="39" t="s">
        <v>38</v>
      </c>
      <c r="G391" s="39" t="s">
        <v>39</v>
      </c>
    </row>
    <row r="392" spans="1:7" x14ac:dyDescent="0.2">
      <c r="A392" s="39" t="s">
        <v>799</v>
      </c>
      <c r="B392" s="39"/>
      <c r="C392" s="39" t="s">
        <v>800</v>
      </c>
      <c r="D392" s="39" t="s">
        <v>37</v>
      </c>
      <c r="E392" s="39" t="s">
        <v>590</v>
      </c>
      <c r="F392" s="39" t="s">
        <v>43</v>
      </c>
      <c r="G392" s="39" t="s">
        <v>39</v>
      </c>
    </row>
    <row r="393" spans="1:7" x14ac:dyDescent="0.2">
      <c r="A393" s="39" t="s">
        <v>801</v>
      </c>
      <c r="B393" s="39"/>
      <c r="C393" s="39" t="s">
        <v>239</v>
      </c>
      <c r="D393" s="39" t="s">
        <v>37</v>
      </c>
      <c r="E393" s="39" t="s">
        <v>516</v>
      </c>
      <c r="F393" s="39" t="s">
        <v>43</v>
      </c>
      <c r="G393" s="39" t="s">
        <v>39</v>
      </c>
    </row>
    <row r="394" spans="1:7" x14ac:dyDescent="0.2">
      <c r="A394" s="39" t="s">
        <v>802</v>
      </c>
      <c r="B394" s="39"/>
      <c r="C394" s="39" t="s">
        <v>803</v>
      </c>
      <c r="D394" s="39" t="s">
        <v>37</v>
      </c>
      <c r="E394" s="39" t="s">
        <v>194</v>
      </c>
      <c r="F394" s="39" t="s">
        <v>38</v>
      </c>
      <c r="G394" s="39" t="s">
        <v>39</v>
      </c>
    </row>
    <row r="395" spans="1:7" x14ac:dyDescent="0.2">
      <c r="A395" s="39" t="s">
        <v>804</v>
      </c>
      <c r="B395" s="39"/>
      <c r="C395" s="39" t="s">
        <v>805</v>
      </c>
      <c r="D395" s="39" t="s">
        <v>37</v>
      </c>
      <c r="E395" s="39" t="s">
        <v>165</v>
      </c>
      <c r="F395" s="39" t="s">
        <v>43</v>
      </c>
      <c r="G395" s="39" t="s">
        <v>39</v>
      </c>
    </row>
    <row r="396" spans="1:7" x14ac:dyDescent="0.2">
      <c r="A396" s="39" t="s">
        <v>806</v>
      </c>
      <c r="B396" s="39"/>
      <c r="C396" s="39" t="s">
        <v>807</v>
      </c>
      <c r="D396" s="39" t="s">
        <v>37</v>
      </c>
      <c r="E396" s="39"/>
      <c r="F396" s="39" t="s">
        <v>43</v>
      </c>
      <c r="G396" s="39" t="s">
        <v>39</v>
      </c>
    </row>
    <row r="397" spans="1:7" x14ac:dyDescent="0.2">
      <c r="A397" s="39" t="s">
        <v>808</v>
      </c>
      <c r="B397" s="39"/>
      <c r="C397" s="39" t="s">
        <v>809</v>
      </c>
      <c r="D397" s="39" t="s">
        <v>37</v>
      </c>
      <c r="E397" s="39" t="s">
        <v>331</v>
      </c>
      <c r="F397" s="39" t="s">
        <v>43</v>
      </c>
      <c r="G397" s="39" t="s">
        <v>39</v>
      </c>
    </row>
    <row r="398" spans="1:7" x14ac:dyDescent="0.2">
      <c r="A398" s="39" t="s">
        <v>810</v>
      </c>
      <c r="B398" s="39"/>
      <c r="C398" s="39" t="s">
        <v>811</v>
      </c>
      <c r="D398" s="39" t="s">
        <v>37</v>
      </c>
      <c r="E398" s="39" t="s">
        <v>103</v>
      </c>
      <c r="F398" s="39" t="s">
        <v>43</v>
      </c>
      <c r="G398" s="39" t="s">
        <v>39</v>
      </c>
    </row>
    <row r="399" spans="1:7" x14ac:dyDescent="0.2">
      <c r="A399" s="39" t="s">
        <v>812</v>
      </c>
      <c r="B399" s="39"/>
      <c r="C399" s="39" t="s">
        <v>813</v>
      </c>
      <c r="D399" s="39" t="s">
        <v>37</v>
      </c>
      <c r="E399" s="39"/>
      <c r="F399" s="39" t="s">
        <v>38</v>
      </c>
      <c r="G399" s="39" t="s">
        <v>39</v>
      </c>
    </row>
    <row r="400" spans="1:7" x14ac:dyDescent="0.2">
      <c r="A400" s="39" t="s">
        <v>814</v>
      </c>
      <c r="B400" s="39"/>
      <c r="C400" s="39" t="s">
        <v>815</v>
      </c>
      <c r="D400" s="39" t="s">
        <v>37</v>
      </c>
      <c r="E400" s="39" t="s">
        <v>396</v>
      </c>
      <c r="F400" s="39" t="s">
        <v>38</v>
      </c>
      <c r="G400" s="39" t="s">
        <v>39</v>
      </c>
    </row>
    <row r="401" spans="1:7" x14ac:dyDescent="0.2">
      <c r="A401" s="39" t="s">
        <v>816</v>
      </c>
      <c r="B401" s="39"/>
      <c r="C401" s="39" t="s">
        <v>87</v>
      </c>
      <c r="D401" s="39" t="s">
        <v>37</v>
      </c>
      <c r="E401" s="39"/>
      <c r="F401" s="39" t="s">
        <v>38</v>
      </c>
      <c r="G401" s="39" t="s">
        <v>39</v>
      </c>
    </row>
    <row r="402" spans="1:7" x14ac:dyDescent="0.2">
      <c r="A402" s="39" t="s">
        <v>817</v>
      </c>
      <c r="B402" s="39"/>
      <c r="C402" s="39" t="s">
        <v>818</v>
      </c>
      <c r="D402" s="39" t="s">
        <v>37</v>
      </c>
      <c r="E402" s="39"/>
      <c r="F402" s="39" t="s">
        <v>43</v>
      </c>
      <c r="G402" s="39" t="s">
        <v>39</v>
      </c>
    </row>
    <row r="403" spans="1:7" x14ac:dyDescent="0.2">
      <c r="A403" s="39" t="s">
        <v>819</v>
      </c>
      <c r="B403" s="39"/>
      <c r="C403" s="39" t="s">
        <v>820</v>
      </c>
      <c r="D403" s="39" t="s">
        <v>37</v>
      </c>
      <c r="E403" s="39"/>
      <c r="F403" s="39" t="s">
        <v>38</v>
      </c>
      <c r="G403" s="39" t="s">
        <v>39</v>
      </c>
    </row>
    <row r="404" spans="1:7" x14ac:dyDescent="0.2">
      <c r="A404" s="39" t="s">
        <v>821</v>
      </c>
      <c r="B404" s="39"/>
      <c r="C404" s="39" t="s">
        <v>822</v>
      </c>
      <c r="D404" s="39" t="s">
        <v>37</v>
      </c>
      <c r="E404" s="39"/>
      <c r="F404" s="39" t="s">
        <v>43</v>
      </c>
      <c r="G404" s="39" t="s">
        <v>39</v>
      </c>
    </row>
    <row r="405" spans="1:7" x14ac:dyDescent="0.2">
      <c r="A405" s="39" t="s">
        <v>823</v>
      </c>
      <c r="B405" s="39"/>
      <c r="C405" s="39" t="s">
        <v>824</v>
      </c>
      <c r="D405" s="39" t="s">
        <v>37</v>
      </c>
      <c r="E405" s="39"/>
      <c r="F405" s="39" t="s">
        <v>43</v>
      </c>
      <c r="G405" s="39" t="s">
        <v>39</v>
      </c>
    </row>
    <row r="406" spans="1:7" x14ac:dyDescent="0.2">
      <c r="A406" s="39" t="s">
        <v>825</v>
      </c>
      <c r="B406" s="39"/>
      <c r="C406" s="39" t="s">
        <v>826</v>
      </c>
      <c r="D406" s="39" t="s">
        <v>37</v>
      </c>
      <c r="E406" s="39"/>
      <c r="F406" s="39" t="s">
        <v>43</v>
      </c>
      <c r="G406" s="39" t="s">
        <v>39</v>
      </c>
    </row>
    <row r="407" spans="1:7" x14ac:dyDescent="0.2">
      <c r="A407" s="39" t="s">
        <v>827</v>
      </c>
      <c r="B407" s="39"/>
      <c r="C407" s="39" t="s">
        <v>828</v>
      </c>
      <c r="D407" s="39" t="s">
        <v>37</v>
      </c>
      <c r="E407" s="39"/>
      <c r="F407" s="39" t="s">
        <v>38</v>
      </c>
      <c r="G407" s="39" t="s">
        <v>39</v>
      </c>
    </row>
    <row r="408" spans="1:7" x14ac:dyDescent="0.2">
      <c r="A408" s="39" t="s">
        <v>829</v>
      </c>
      <c r="B408" s="39"/>
      <c r="C408" s="39" t="s">
        <v>830</v>
      </c>
      <c r="D408" s="39" t="s">
        <v>37</v>
      </c>
      <c r="E408" s="39" t="s">
        <v>240</v>
      </c>
      <c r="F408" s="39" t="s">
        <v>43</v>
      </c>
      <c r="G408" s="39" t="s">
        <v>39</v>
      </c>
    </row>
    <row r="409" spans="1:7" x14ac:dyDescent="0.2">
      <c r="A409" s="39" t="s">
        <v>831</v>
      </c>
      <c r="B409" s="39"/>
      <c r="C409" s="39" t="s">
        <v>181</v>
      </c>
      <c r="D409" s="39" t="s">
        <v>37</v>
      </c>
      <c r="E409" s="39"/>
      <c r="F409" s="39" t="s">
        <v>38</v>
      </c>
      <c r="G409" s="39" t="s">
        <v>39</v>
      </c>
    </row>
    <row r="410" spans="1:7" x14ac:dyDescent="0.2">
      <c r="A410" s="39" t="s">
        <v>832</v>
      </c>
      <c r="B410" s="39"/>
      <c r="C410" s="39" t="s">
        <v>148</v>
      </c>
      <c r="D410" s="39" t="s">
        <v>37</v>
      </c>
      <c r="E410" s="39"/>
      <c r="F410" s="39" t="s">
        <v>38</v>
      </c>
      <c r="G410" s="39" t="s">
        <v>39</v>
      </c>
    </row>
    <row r="411" spans="1:7" x14ac:dyDescent="0.2">
      <c r="A411" s="39" t="s">
        <v>833</v>
      </c>
      <c r="B411" s="39"/>
      <c r="C411" s="39" t="s">
        <v>325</v>
      </c>
      <c r="D411" s="39" t="s">
        <v>37</v>
      </c>
      <c r="E411" s="39" t="s">
        <v>516</v>
      </c>
      <c r="F411" s="39" t="s">
        <v>38</v>
      </c>
      <c r="G411" s="39" t="s">
        <v>39</v>
      </c>
    </row>
    <row r="412" spans="1:7" x14ac:dyDescent="0.2">
      <c r="A412" s="39" t="s">
        <v>834</v>
      </c>
      <c r="B412" s="39"/>
      <c r="C412" s="39" t="s">
        <v>835</v>
      </c>
      <c r="D412" s="39" t="s">
        <v>37</v>
      </c>
      <c r="E412" s="39" t="s">
        <v>167</v>
      </c>
      <c r="F412" s="39" t="s">
        <v>38</v>
      </c>
      <c r="G412" s="39" t="s">
        <v>39</v>
      </c>
    </row>
    <row r="413" spans="1:7" x14ac:dyDescent="0.2">
      <c r="A413" s="39" t="s">
        <v>836</v>
      </c>
      <c r="B413" s="39"/>
      <c r="C413" s="39" t="s">
        <v>837</v>
      </c>
      <c r="D413" s="39" t="s">
        <v>37</v>
      </c>
      <c r="E413" s="39" t="s">
        <v>282</v>
      </c>
      <c r="F413" s="39" t="s">
        <v>38</v>
      </c>
      <c r="G413" s="39" t="s">
        <v>39</v>
      </c>
    </row>
    <row r="414" spans="1:7" x14ac:dyDescent="0.2">
      <c r="A414" s="39" t="s">
        <v>838</v>
      </c>
      <c r="B414" s="39"/>
      <c r="C414" s="39" t="s">
        <v>839</v>
      </c>
      <c r="D414" s="39" t="s">
        <v>37</v>
      </c>
      <c r="E414" s="39"/>
      <c r="F414" s="39" t="s">
        <v>38</v>
      </c>
      <c r="G414" s="39" t="s">
        <v>39</v>
      </c>
    </row>
    <row r="415" spans="1:7" x14ac:dyDescent="0.2">
      <c r="A415" s="39" t="s">
        <v>840</v>
      </c>
      <c r="B415" s="39"/>
      <c r="C415" s="39" t="s">
        <v>841</v>
      </c>
      <c r="D415" s="39" t="s">
        <v>37</v>
      </c>
      <c r="E415" s="39"/>
      <c r="F415" s="39" t="s">
        <v>38</v>
      </c>
      <c r="G415" s="39" t="s">
        <v>39</v>
      </c>
    </row>
    <row r="416" spans="1:7" x14ac:dyDescent="0.2">
      <c r="A416" s="39" t="s">
        <v>842</v>
      </c>
      <c r="B416" s="39"/>
      <c r="C416" s="39" t="s">
        <v>843</v>
      </c>
      <c r="D416" s="39" t="s">
        <v>37</v>
      </c>
      <c r="E416" s="39"/>
      <c r="F416" s="39" t="s">
        <v>38</v>
      </c>
      <c r="G416" s="39" t="s">
        <v>39</v>
      </c>
    </row>
    <row r="417" spans="1:7" x14ac:dyDescent="0.2">
      <c r="A417" s="39" t="s">
        <v>844</v>
      </c>
      <c r="B417" s="39"/>
      <c r="C417" s="39" t="s">
        <v>56</v>
      </c>
      <c r="D417" s="39" t="s">
        <v>37</v>
      </c>
      <c r="E417" s="39" t="s">
        <v>204</v>
      </c>
      <c r="F417" s="39" t="s">
        <v>38</v>
      </c>
      <c r="G417" s="39" t="s">
        <v>39</v>
      </c>
    </row>
    <row r="418" spans="1:7" x14ac:dyDescent="0.2">
      <c r="A418" s="39" t="s">
        <v>845</v>
      </c>
      <c r="B418" s="39"/>
      <c r="C418" s="39" t="s">
        <v>846</v>
      </c>
      <c r="D418" s="39" t="s">
        <v>37</v>
      </c>
      <c r="E418" s="39"/>
      <c r="F418" s="39" t="s">
        <v>43</v>
      </c>
      <c r="G418" s="39" t="s">
        <v>39</v>
      </c>
    </row>
    <row r="419" spans="1:7" x14ac:dyDescent="0.2">
      <c r="A419" s="39" t="s">
        <v>847</v>
      </c>
      <c r="B419" s="39"/>
      <c r="C419" s="39" t="s">
        <v>848</v>
      </c>
      <c r="D419" s="39" t="s">
        <v>37</v>
      </c>
      <c r="E419" s="39" t="s">
        <v>433</v>
      </c>
      <c r="F419" s="39" t="s">
        <v>43</v>
      </c>
      <c r="G419" s="39" t="s">
        <v>39</v>
      </c>
    </row>
    <row r="420" spans="1:7" x14ac:dyDescent="0.2">
      <c r="A420" s="39" t="s">
        <v>849</v>
      </c>
      <c r="B420" s="39"/>
      <c r="C420" s="39" t="s">
        <v>378</v>
      </c>
      <c r="D420" s="39" t="s">
        <v>37</v>
      </c>
      <c r="E420" s="39"/>
      <c r="F420" s="39" t="s">
        <v>43</v>
      </c>
      <c r="G420" s="39" t="s">
        <v>39</v>
      </c>
    </row>
    <row r="421" spans="1:7" x14ac:dyDescent="0.2">
      <c r="A421" s="39" t="s">
        <v>850</v>
      </c>
      <c r="B421" s="39"/>
      <c r="C421" s="39" t="s">
        <v>851</v>
      </c>
      <c r="D421" s="39" t="s">
        <v>37</v>
      </c>
      <c r="E421" s="39"/>
      <c r="F421" s="39" t="s">
        <v>43</v>
      </c>
      <c r="G421" s="39" t="s">
        <v>39</v>
      </c>
    </row>
    <row r="422" spans="1:7" x14ac:dyDescent="0.2">
      <c r="A422" s="39" t="s">
        <v>852</v>
      </c>
      <c r="B422" s="39"/>
      <c r="C422" s="39" t="s">
        <v>853</v>
      </c>
      <c r="D422" s="39" t="s">
        <v>37</v>
      </c>
      <c r="E422" s="39"/>
      <c r="F422" s="39" t="s">
        <v>38</v>
      </c>
      <c r="G422" s="39" t="s">
        <v>39</v>
      </c>
    </row>
    <row r="423" spans="1:7" x14ac:dyDescent="0.2">
      <c r="A423" s="39" t="s">
        <v>854</v>
      </c>
      <c r="B423" s="39"/>
      <c r="C423" s="39" t="s">
        <v>855</v>
      </c>
      <c r="D423" s="39" t="s">
        <v>37</v>
      </c>
      <c r="E423" s="39"/>
      <c r="F423" s="39" t="s">
        <v>38</v>
      </c>
      <c r="G423" s="39" t="s">
        <v>39</v>
      </c>
    </row>
    <row r="424" spans="1:7" x14ac:dyDescent="0.2">
      <c r="A424" s="39" t="s">
        <v>856</v>
      </c>
      <c r="B424" s="39"/>
      <c r="C424" s="39" t="s">
        <v>857</v>
      </c>
      <c r="D424" s="39" t="s">
        <v>37</v>
      </c>
      <c r="E424" s="39"/>
      <c r="F424" s="39" t="s">
        <v>38</v>
      </c>
      <c r="G424" s="39" t="s">
        <v>39</v>
      </c>
    </row>
    <row r="425" spans="1:7" x14ac:dyDescent="0.2">
      <c r="A425" s="39" t="s">
        <v>858</v>
      </c>
      <c r="B425" s="39"/>
      <c r="C425" s="39" t="s">
        <v>859</v>
      </c>
      <c r="D425" s="39" t="s">
        <v>37</v>
      </c>
      <c r="E425" s="39"/>
      <c r="F425" s="39" t="s">
        <v>43</v>
      </c>
      <c r="G425" s="39" t="s">
        <v>39</v>
      </c>
    </row>
    <row r="426" spans="1:7" x14ac:dyDescent="0.2">
      <c r="A426" s="39" t="s">
        <v>860</v>
      </c>
      <c r="B426" s="39"/>
      <c r="C426" s="39" t="s">
        <v>861</v>
      </c>
      <c r="D426" s="39" t="s">
        <v>37</v>
      </c>
      <c r="E426" s="39"/>
      <c r="F426" s="39" t="s">
        <v>43</v>
      </c>
      <c r="G426" s="39" t="s">
        <v>39</v>
      </c>
    </row>
    <row r="427" spans="1:7" x14ac:dyDescent="0.2">
      <c r="A427" s="39" t="s">
        <v>862</v>
      </c>
      <c r="B427" s="39"/>
      <c r="C427" s="39" t="s">
        <v>690</v>
      </c>
      <c r="D427" s="39" t="s">
        <v>37</v>
      </c>
      <c r="E427" s="39" t="s">
        <v>115</v>
      </c>
      <c r="F427" s="39" t="s">
        <v>43</v>
      </c>
      <c r="G427" s="39" t="s">
        <v>39</v>
      </c>
    </row>
    <row r="428" spans="1:7" x14ac:dyDescent="0.2">
      <c r="A428" s="39" t="s">
        <v>863</v>
      </c>
      <c r="B428" s="39"/>
      <c r="C428" s="39" t="s">
        <v>864</v>
      </c>
      <c r="D428" s="39" t="s">
        <v>37</v>
      </c>
      <c r="E428" s="39"/>
      <c r="F428" s="39" t="s">
        <v>43</v>
      </c>
      <c r="G428" s="39" t="s">
        <v>39</v>
      </c>
    </row>
    <row r="429" spans="1:7" x14ac:dyDescent="0.2">
      <c r="A429" s="39" t="s">
        <v>865</v>
      </c>
      <c r="B429" s="39"/>
      <c r="C429" s="39" t="s">
        <v>866</v>
      </c>
      <c r="D429" s="39" t="s">
        <v>37</v>
      </c>
      <c r="E429" s="39"/>
      <c r="F429" s="39" t="s">
        <v>43</v>
      </c>
      <c r="G429" s="39" t="s">
        <v>39</v>
      </c>
    </row>
    <row r="430" spans="1:7" x14ac:dyDescent="0.2">
      <c r="A430" s="39" t="s">
        <v>867</v>
      </c>
      <c r="B430" s="39"/>
      <c r="C430" s="39" t="s">
        <v>868</v>
      </c>
      <c r="D430" s="39" t="s">
        <v>37</v>
      </c>
      <c r="E430" s="39"/>
      <c r="F430" s="39" t="s">
        <v>43</v>
      </c>
      <c r="G430" s="39" t="s">
        <v>39</v>
      </c>
    </row>
    <row r="431" spans="1:7" x14ac:dyDescent="0.2">
      <c r="A431" s="39" t="s">
        <v>869</v>
      </c>
      <c r="B431" s="39"/>
      <c r="C431" s="39" t="s">
        <v>477</v>
      </c>
      <c r="D431" s="39" t="s">
        <v>37</v>
      </c>
      <c r="E431" s="39"/>
      <c r="F431" s="39" t="s">
        <v>43</v>
      </c>
      <c r="G431" s="3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Providers Count</vt:lpstr>
      <vt:lpstr>Capacities</vt:lpstr>
      <vt:lpstr>Scholarships</vt:lpstr>
      <vt:lpstr>Expenditures</vt:lpstr>
      <vt:lpstr>Count of Children</vt:lpstr>
      <vt:lpstr>Count of Families</vt:lpstr>
      <vt:lpstr>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Sudhan Reddy Alandur</dc:creator>
  <cp:lastModifiedBy>Madhu Sudhan Reddy Alandur</cp:lastModifiedBy>
  <dcterms:created xsi:type="dcterms:W3CDTF">2025-09-29T16:50:48Z</dcterms:created>
  <dcterms:modified xsi:type="dcterms:W3CDTF">2025-10-14T12:08:25Z</dcterms:modified>
</cp:coreProperties>
</file>